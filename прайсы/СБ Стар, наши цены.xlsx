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66C3D2B-BEC4-4A39-9B45-0E46A9AB246D}" xr6:coauthVersionLast="47" xr6:coauthVersionMax="47" xr10:uidLastSave="{00000000-0000-0000-0000-000000000000}"/>
  <bookViews>
    <workbookView showSheetTabs="0" xWindow="-110" yWindow="-110" windowWidth="19420" windowHeight="10300" tabRatio="0" activeTab="1" xr2:uid="{8F54F8FF-AB62-465E-A0BC-3464BF745071}"/>
  </bookViews>
  <sheets>
    <sheet name="Лист1" sheetId="2" r:id="rId1"/>
    <sheet name="Sheet1" sheetId="1" r:id="rId2"/>
  </sheets>
  <definedNames>
    <definedName name="_xlnm.Print_Area" localSheetId="1">Sheet1!$C$3:$G$816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18" i="1" l="1"/>
  <c r="D600" i="1"/>
  <c r="D557" i="1"/>
  <c r="D556" i="1"/>
  <c r="D555" i="1"/>
  <c r="D554" i="1"/>
  <c r="D553" i="1"/>
  <c r="D552" i="1"/>
  <c r="D68" i="1"/>
  <c r="D93" i="1"/>
  <c r="D94" i="1"/>
  <c r="D777" i="1"/>
  <c r="D773" i="1"/>
  <c r="D776" i="1"/>
  <c r="D515" i="1"/>
  <c r="D516" i="1"/>
  <c r="D517" i="1"/>
  <c r="D514" i="1"/>
  <c r="D276" i="1"/>
  <c r="D769" i="1"/>
  <c r="D57" i="1"/>
  <c r="D584" i="1"/>
  <c r="D27" i="1"/>
  <c r="D28" i="1"/>
  <c r="D568" i="1"/>
  <c r="D565" i="1"/>
  <c r="D284" i="1"/>
  <c r="D285" i="1"/>
  <c r="D286" i="1"/>
  <c r="D275" i="1"/>
  <c r="D17" i="1"/>
  <c r="D595" i="1"/>
  <c r="D592" i="1"/>
  <c r="D590" i="1"/>
  <c r="D121" i="1"/>
  <c r="D25" i="1"/>
  <c r="D332" i="1"/>
  <c r="D333" i="1"/>
  <c r="D298" i="1"/>
  <c r="D613" i="1"/>
  <c r="D82" i="1"/>
  <c r="D83" i="1"/>
  <c r="D802" i="1"/>
  <c r="D61" i="1"/>
  <c r="D143" i="1"/>
  <c r="D144" i="1"/>
  <c r="D205" i="1"/>
  <c r="D741" i="1"/>
  <c r="D395" i="1"/>
  <c r="D153" i="1"/>
  <c r="D150" i="1"/>
  <c r="D154" i="1"/>
  <c r="D155" i="1"/>
  <c r="D156" i="1"/>
  <c r="D157" i="1"/>
  <c r="D158" i="1"/>
  <c r="D717" i="1"/>
  <c r="D730" i="1"/>
  <c r="D342" i="1"/>
  <c r="D529" i="1"/>
  <c r="D18" i="1"/>
  <c r="D19" i="1"/>
  <c r="D20" i="1"/>
  <c r="D21" i="1"/>
  <c r="D22" i="1"/>
  <c r="D23" i="1"/>
  <c r="D24" i="1"/>
  <c r="D26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8" i="1"/>
  <c r="D59" i="1"/>
  <c r="D62" i="1"/>
  <c r="E62" i="1"/>
  <c r="D63" i="1"/>
  <c r="E63" i="1"/>
  <c r="D66" i="1"/>
  <c r="E66" i="1"/>
  <c r="D67" i="1"/>
  <c r="E67" i="1"/>
  <c r="D70" i="1"/>
  <c r="D69" i="1"/>
  <c r="D71" i="1"/>
  <c r="D72" i="1"/>
  <c r="D73" i="1"/>
  <c r="D74" i="1"/>
  <c r="D75" i="1"/>
  <c r="D76" i="1"/>
  <c r="D77" i="1"/>
  <c r="D78" i="1"/>
  <c r="D79" i="1"/>
  <c r="D80" i="1"/>
  <c r="D81" i="1"/>
  <c r="D84" i="1"/>
  <c r="D85" i="1"/>
  <c r="D86" i="1"/>
  <c r="D87" i="1"/>
  <c r="D88" i="1"/>
  <c r="D89" i="1"/>
  <c r="D90" i="1"/>
  <c r="D91" i="1"/>
  <c r="D92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3" i="1"/>
  <c r="D114" i="1"/>
  <c r="D115" i="1"/>
  <c r="D116" i="1"/>
  <c r="D117" i="1"/>
  <c r="D118" i="1"/>
  <c r="D119" i="1"/>
  <c r="D120" i="1"/>
  <c r="D122" i="1"/>
  <c r="D123" i="1"/>
  <c r="E123" i="1"/>
  <c r="D142" i="1"/>
  <c r="D145" i="1"/>
  <c r="D146" i="1"/>
  <c r="D147" i="1"/>
  <c r="D148" i="1"/>
  <c r="D149" i="1"/>
  <c r="D151" i="1"/>
  <c r="D152" i="1"/>
  <c r="D159" i="1"/>
  <c r="D162" i="1"/>
  <c r="E162" i="1"/>
  <c r="D163" i="1"/>
  <c r="E163" i="1"/>
  <c r="D200" i="1"/>
  <c r="D201" i="1"/>
  <c r="D202" i="1"/>
  <c r="D203" i="1"/>
  <c r="D204" i="1"/>
  <c r="D206" i="1"/>
  <c r="D207" i="1"/>
  <c r="D208" i="1"/>
  <c r="E208" i="1"/>
  <c r="D211" i="1"/>
  <c r="D212" i="1"/>
  <c r="D213" i="1"/>
  <c r="D214" i="1"/>
  <c r="D215" i="1"/>
  <c r="D217" i="1"/>
  <c r="D218" i="1"/>
  <c r="D219" i="1"/>
  <c r="D220" i="1"/>
  <c r="D221" i="1"/>
  <c r="D222" i="1"/>
  <c r="D223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6" i="1"/>
  <c r="E266" i="1"/>
  <c r="D267" i="1"/>
  <c r="E267" i="1"/>
  <c r="D268" i="1"/>
  <c r="D269" i="1"/>
  <c r="D270" i="1"/>
  <c r="D271" i="1"/>
  <c r="D272" i="1"/>
  <c r="D273" i="1"/>
  <c r="D274" i="1"/>
  <c r="D277" i="1"/>
  <c r="D278" i="1"/>
  <c r="D279" i="1"/>
  <c r="D280" i="1"/>
  <c r="D281" i="1"/>
  <c r="D282" i="1"/>
  <c r="D283" i="1"/>
  <c r="D287" i="1"/>
  <c r="D288" i="1"/>
  <c r="D289" i="1"/>
  <c r="D290" i="1"/>
  <c r="D291" i="1"/>
  <c r="D292" i="1"/>
  <c r="D293" i="1"/>
  <c r="D294" i="1"/>
  <c r="D295" i="1"/>
  <c r="D296" i="1"/>
  <c r="D297" i="1"/>
  <c r="D299" i="1"/>
  <c r="D300" i="1"/>
  <c r="E300" i="1"/>
  <c r="D301" i="1"/>
  <c r="E301" i="1"/>
  <c r="D303" i="1"/>
  <c r="E303" i="1"/>
  <c r="D304" i="1"/>
  <c r="D305" i="1"/>
  <c r="D306" i="1"/>
  <c r="D307" i="1"/>
  <c r="D308" i="1"/>
  <c r="D309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4" i="1"/>
  <c r="D336" i="1"/>
  <c r="D337" i="1"/>
  <c r="D338" i="1"/>
  <c r="D339" i="1"/>
  <c r="D340" i="1"/>
  <c r="D341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90" i="1"/>
  <c r="D391" i="1"/>
  <c r="D392" i="1"/>
  <c r="D393" i="1"/>
  <c r="D394" i="1"/>
  <c r="D396" i="1"/>
  <c r="D397" i="1"/>
  <c r="D398" i="1"/>
  <c r="D399" i="1"/>
  <c r="D401" i="1"/>
  <c r="E401" i="1"/>
  <c r="D402" i="1"/>
  <c r="E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4" i="1"/>
  <c r="D455" i="1"/>
  <c r="D456" i="1"/>
  <c r="D457" i="1"/>
  <c r="D458" i="1"/>
  <c r="D459" i="1"/>
  <c r="D460" i="1"/>
  <c r="D461" i="1"/>
  <c r="D462" i="1"/>
  <c r="D465" i="1"/>
  <c r="E465" i="1"/>
  <c r="D466" i="1"/>
  <c r="E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E498" i="1"/>
  <c r="D499" i="1"/>
  <c r="E499" i="1"/>
  <c r="D500" i="1"/>
  <c r="E500" i="1"/>
  <c r="D501" i="1"/>
  <c r="E501" i="1"/>
  <c r="D503" i="1"/>
  <c r="E503" i="1"/>
  <c r="D504" i="1"/>
  <c r="D505" i="1"/>
  <c r="D506" i="1"/>
  <c r="D507" i="1"/>
  <c r="D508" i="1"/>
  <c r="D509" i="1"/>
  <c r="D510" i="1"/>
  <c r="D512" i="1"/>
  <c r="E512" i="1"/>
  <c r="D513" i="1"/>
  <c r="D518" i="1"/>
  <c r="D520" i="1"/>
  <c r="D521" i="1"/>
  <c r="D522" i="1"/>
  <c r="D523" i="1"/>
  <c r="D524" i="1"/>
  <c r="E524" i="1"/>
  <c r="D525" i="1"/>
  <c r="E525" i="1"/>
  <c r="D528" i="1"/>
  <c r="D530" i="1"/>
  <c r="D531" i="1"/>
  <c r="D532" i="1"/>
  <c r="D533" i="1"/>
  <c r="D534" i="1"/>
  <c r="D535" i="1"/>
  <c r="D536" i="1"/>
  <c r="D537" i="1"/>
  <c r="D539" i="1"/>
  <c r="D540" i="1"/>
  <c r="D541" i="1"/>
  <c r="D542" i="1"/>
  <c r="D543" i="1"/>
  <c r="D545" i="1"/>
  <c r="D546" i="1"/>
  <c r="D547" i="1"/>
  <c r="D548" i="1"/>
  <c r="D549" i="1"/>
  <c r="D558" i="1"/>
  <c r="D559" i="1"/>
  <c r="D560" i="1"/>
  <c r="D561" i="1"/>
  <c r="D562" i="1"/>
  <c r="D563" i="1"/>
  <c r="D564" i="1"/>
  <c r="D566" i="1"/>
  <c r="D567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5" i="1"/>
  <c r="D586" i="1"/>
  <c r="D587" i="1"/>
  <c r="D588" i="1"/>
  <c r="D589" i="1"/>
  <c r="D591" i="1"/>
  <c r="D593" i="1"/>
  <c r="D594" i="1"/>
  <c r="D596" i="1"/>
  <c r="D598" i="1"/>
  <c r="E598" i="1"/>
  <c r="D599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E646" i="1"/>
  <c r="D647" i="1"/>
  <c r="E647" i="1"/>
  <c r="D648" i="1"/>
  <c r="E648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E666" i="1"/>
  <c r="D667" i="1"/>
  <c r="E667" i="1"/>
  <c r="D669" i="1"/>
  <c r="D670" i="1"/>
  <c r="D671" i="1"/>
  <c r="D672" i="1"/>
  <c r="D673" i="1"/>
  <c r="D674" i="1"/>
  <c r="D675" i="1"/>
  <c r="D676" i="1"/>
  <c r="D677" i="1"/>
  <c r="E677" i="1"/>
  <c r="D679" i="1"/>
  <c r="D680" i="1"/>
  <c r="D681" i="1"/>
  <c r="D682" i="1"/>
  <c r="D683" i="1"/>
  <c r="D684" i="1"/>
  <c r="D685" i="1"/>
  <c r="D686" i="1"/>
  <c r="D687" i="1"/>
  <c r="D688" i="1"/>
  <c r="D689" i="1"/>
  <c r="D691" i="1"/>
  <c r="D692" i="1"/>
  <c r="D693" i="1"/>
  <c r="D694" i="1"/>
  <c r="D695" i="1"/>
  <c r="D697" i="1"/>
  <c r="D698" i="1"/>
  <c r="D699" i="1"/>
  <c r="D700" i="1"/>
  <c r="D701" i="1"/>
  <c r="D702" i="1"/>
  <c r="D703" i="1"/>
  <c r="D704" i="1"/>
  <c r="D705" i="1"/>
  <c r="D706" i="1"/>
  <c r="D708" i="1"/>
  <c r="D709" i="1"/>
  <c r="D710" i="1"/>
  <c r="D711" i="1"/>
  <c r="D712" i="1"/>
  <c r="D713" i="1"/>
  <c r="D714" i="1"/>
  <c r="D715" i="1"/>
  <c r="D716" i="1"/>
  <c r="D719" i="1"/>
  <c r="D720" i="1"/>
  <c r="D721" i="1"/>
  <c r="D722" i="1"/>
  <c r="D723" i="1"/>
  <c r="D724" i="1"/>
  <c r="D725" i="1"/>
  <c r="D726" i="1"/>
  <c r="D727" i="1"/>
  <c r="D728" i="1"/>
  <c r="D729" i="1"/>
  <c r="D731" i="1"/>
  <c r="D732" i="1"/>
  <c r="D733" i="1"/>
  <c r="D735" i="1"/>
  <c r="D736" i="1"/>
  <c r="D738" i="1"/>
  <c r="D739" i="1"/>
  <c r="D740" i="1"/>
  <c r="D742" i="1"/>
  <c r="D743" i="1"/>
  <c r="D744" i="1"/>
  <c r="D745" i="1"/>
  <c r="D746" i="1"/>
  <c r="D748" i="1"/>
  <c r="D749" i="1"/>
  <c r="D750" i="1"/>
  <c r="D751" i="1"/>
  <c r="D752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70" i="1"/>
  <c r="D771" i="1"/>
  <c r="D772" i="1"/>
  <c r="D774" i="1"/>
  <c r="D775" i="1"/>
  <c r="D778" i="1"/>
  <c r="D779" i="1"/>
  <c r="D780" i="1"/>
  <c r="D781" i="1"/>
  <c r="E781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</calcChain>
</file>

<file path=xl/sharedStrings.xml><?xml version="1.0" encoding="utf-8"?>
<sst xmlns="http://schemas.openxmlformats.org/spreadsheetml/2006/main" count="814" uniqueCount="807">
  <si>
    <t>Наименование товаров</t>
  </si>
  <si>
    <t>1.1 Автомобильные и базовые радиостанции диапазона 27МГц</t>
  </si>
  <si>
    <t>YOSAN JC-100 радиостанция автомобильная 27МГц 120 каналов, АМ/ЧМ 7 Вт EU+ RU</t>
  </si>
  <si>
    <t>YOSAN JC-200 радиостанция автомобильная 27МГц 120 каналов, АМ/ЧМ 8 Вт EU+ RU</t>
  </si>
  <si>
    <t>Дилер</t>
  </si>
  <si>
    <t>YOSAN JC-300 радиостанция автомобильная 27МГц 120 каналов, АМ/ЧМ 7 Вт EU+ RU</t>
  </si>
  <si>
    <t>YOSAN TRUCKER радиостанция автомобильная 27МГц 1350 каналов АМ/ЧМ 10 Вт EU+ RU</t>
  </si>
  <si>
    <t xml:space="preserve">02. Радиостанции УКВ диапазона </t>
  </si>
  <si>
    <t>YOSAN JC-600Plus радиостанция автомобильная 27МГц 240 каналов, АМ/ЧМ 12 Вт EU+RU</t>
  </si>
  <si>
    <t>Розница</t>
  </si>
  <si>
    <t>Краткое описание характеристик</t>
  </si>
  <si>
    <t>Р/ст  Climbmax ЕМ-9703 FRS, 14 каналов, 1Вт (пара), зарядное устройство, без аккумуляторов</t>
  </si>
  <si>
    <t>Р/ст Quansheng TG-A8, 400-480МГц, 4.5Вт, Li-Ion 1500мАч, зарядное устройство</t>
  </si>
  <si>
    <t>Р/ст Puxing PX-359 400-470МГц, 5Вт, Li-Ion 1600мАч, зарядное устройство</t>
  </si>
  <si>
    <t xml:space="preserve">Р/c ALINCO DJ-A41  400-470МГц, 5Вт, Li-Ion 1500мАч, IPX54,  MIL-STD-810G, зарядное устройство </t>
  </si>
  <si>
    <t xml:space="preserve">Р/с ALINCO DJ-A40 400-470МГц, 5Вт, Li-Ion 1500мАч, IPX54, MIL-STD-810G, зарядное устройство </t>
  </si>
  <si>
    <t xml:space="preserve">Р/с ALINCO DJ-500 136-174/400-470МГц, 5Вт, Li-Ion 1500мАч, IPX54, MIL-STD-810G, зарядное устройство </t>
  </si>
  <si>
    <t>KZT</t>
  </si>
  <si>
    <t>USD</t>
  </si>
  <si>
    <t>1.2 Портативные радиостанции диапазона 27МГц</t>
  </si>
  <si>
    <t>2.2 Радиостанции портативные HYT</t>
  </si>
  <si>
    <t>Р/ст HYT TC-320 450-470МГц, 16 Кан., 2Вт, Li-Ion 1700мАч, индивидуальное ускоренное з/у</t>
  </si>
  <si>
    <t>Р/ст HYT TC-508 400-470МГц, 4Вт, Li-Ion 1650мАч, индивидуальное ускоренное з/у</t>
  </si>
  <si>
    <t>Р/ст HYT TC-508 146-174МГц, 5Вт, Li-Ion 1650мАч, индивидуальное ускоренное з/у</t>
  </si>
  <si>
    <t>Р/ст HYT TC-518 136-174МГц, 16 Кан., 5Вт, Li-Ion 1300мАч, индивидуальное ускоренное з/у</t>
  </si>
  <si>
    <t>Р/ст HYT TC-518 400-470МГц, 16 Кан., 4Вт, Li-Ion 1300мАч, индивидуальное ускоренное з/у</t>
  </si>
  <si>
    <t>Р/ст HYT TC-600 400-420МГц, 16 Кан., 4Вт, Li-Ion 1250мАч, индивидуальное ускоренное з/у</t>
  </si>
  <si>
    <t>Р/ст HYT TC-610 136-174МГц, IP66, 16 Кан., 5Вт, Li-Ion 1200мАч, индивидуальное ускоренное з/у</t>
  </si>
  <si>
    <t>Р/ст HYT TC-610 400-420МГц, IP66, 16 Кан., 5Вт, Li-Ion 1200мАч, индивидуальное ускоренное з/у</t>
  </si>
  <si>
    <t>Р/ст HYT TC-610 420-450МГц, IP66, 16 Кан., 5Вт, Li-Ion 1200мАч, индивидуальное ускоренное з/у</t>
  </si>
  <si>
    <t>Р/ст HYT TC-610 440-470МГц, IP66, 16 Кан., 5Вт, Li-Ion 1200мАч, индивидуальное ускоренное з/у</t>
  </si>
  <si>
    <t>Р/ст HYT TC-700 136-174МГц, 16 Кан., 5Вт, Li-Ion 1700мАч, индивидуальное ускоренное з/у</t>
  </si>
  <si>
    <t>Р/ст HYT TC-700 400-470МГц, 16 Кан., 4Вт, Li-Ion 1700мАч, индивидуальное ускоренное з/у</t>
  </si>
  <si>
    <t>Р/ст HYT TC-700EX Plus FM 136-174МГц,16 кан., 4Вт, аккумулятор BL-1703 Li-Lon 1700мАч</t>
  </si>
  <si>
    <t>Р/ст HYT TC-700EX Plus FM 400-470МГц,16 кан., 4Вт, аккумулятор BL-1703 Li-Lon 1700мАч</t>
  </si>
  <si>
    <t>Р/ст HYT TC-700EX Plus ATEX 136-174МГц,16 кан., 1Вт, аккумулятор BL-1703 Li-Lon 1700мАч</t>
  </si>
  <si>
    <t>Р/ст HYT TC-700EX Plus ATEX 420-470МГц,16 кан., 1Вт, аккумулятор BL-1703 Li-Lon 1700мАч</t>
  </si>
  <si>
    <t>2.3. Радиостанции мобильные/стационарные</t>
  </si>
  <si>
    <t>Р/ст HYT TM-610 136-174МГц, 25Вт, 128 Кан.</t>
  </si>
  <si>
    <t>Р/ст HYT TM-610 400-470МГц, 25Вт, 128 Кан.</t>
  </si>
  <si>
    <t>Р/ст HYT TM-610 136-174МГц, 45Вт, 128 Кан.</t>
  </si>
  <si>
    <t>Р/ст HYT TM-610 400-470МГц, 40Вт, 128 Кан.</t>
  </si>
  <si>
    <t>2.4 Профессиональные КВ трансиверы</t>
  </si>
  <si>
    <t>Р/ст ICOM IC-78 1.6-29.7МГц (Rx 0.5-30МГц), 100Вт,100 кан.,USB/LSB/CW/RTTY/AM, 13.8 В</t>
  </si>
  <si>
    <t>Р/ст ALINCO DX-SR-08  1.6-29.99МГц (Rx 0.03-35МГц), 100Вт, USB/LSB/CW/AM/FM, 13.8 В</t>
  </si>
  <si>
    <t>Р/ст ALINCO DX-SR-09 NEW 1.6-29.99МГц (Rx 0.03-35МГц), 100Вт, USB/LSB/CW/AM/FM, SDR,13.8 В</t>
  </si>
  <si>
    <t>2.5 Оборудование ICOM</t>
  </si>
  <si>
    <t>Автоматический антенный КВ тюнер ICOM AT-130 , 1,6…30 МГц,150Вт, КСВ не хуже 2:1</t>
  </si>
  <si>
    <t>Аккумулятор ICOM BP-210N Ni-MH (7.2V-1650mAh) для IC-F3G/4G/30G/40G/F11/21/8</t>
  </si>
  <si>
    <t>Аккумулятор ICOM BP-232H Li-ion (7.4V- 2300 mAh) для IC-F16/F26/F33G/F43G</t>
  </si>
  <si>
    <t>Аккумулятор ICOM BP-264 Ni-MH (7.2V-1400mAh) для IC-F3001/4001/3003</t>
  </si>
  <si>
    <t>Аккумулятор ICOM BP-265 Li-lon (7.4V-1900 mAh) для IC-F3001/F4001/F3003</t>
  </si>
  <si>
    <t>Антенна ICOM AH-710 КВ 1.9-30МГц, с кабелем 30м</t>
  </si>
  <si>
    <t>Антенна портативная ICOM FA-SC57U 430-470МГц для IC-F4/F24/F4001/4003</t>
  </si>
  <si>
    <t>Зарядное уст-во BC-119N для IC-M88 ускоренное</t>
  </si>
  <si>
    <t>Зарядное устройство ICOM BC-144N</t>
  </si>
  <si>
    <t>Кабель для программирования ICOM OPC-478UC</t>
  </si>
  <si>
    <t>Кабель для программирования ICOM OPC-871</t>
  </si>
  <si>
    <t>Кабель питания ICOM OPC-1132</t>
  </si>
  <si>
    <t>Контрольный кабель ICOM OPC-2142 для AT-130</t>
  </si>
  <si>
    <t>Настольное быстрое з/у ICOM BC-160  для IC-F16/F26/F33/F43/F3026/F3063</t>
  </si>
  <si>
    <t>Опциональный кабель ICOM OPC-609</t>
  </si>
  <si>
    <t>Переходник кабеля для программирования ICOM OPC-592</t>
  </si>
  <si>
    <t>Программное обеспечение для IC-7800/7700, IC-9100/7200/R9500</t>
  </si>
  <si>
    <t>Р/ст ICOM IC-8100  с распределительной коробкой AD-119</t>
  </si>
  <si>
    <t>Р/ст ICOM IC-F16 146-174MГц, 16кан., 5Вт, Li-Ion 2000 мАч, без з/у</t>
  </si>
  <si>
    <t>Р/ст ICOM IC-F3003 146-174MГц, 16кан., 5Вт, Li-Ion 1900 мАч, индивидуальное зарядное устройство</t>
  </si>
  <si>
    <t>Р/ст ICOM IC-F3036S 146-174MГц, 128кан., 5Вт,  BP-232WP, Li-ion 2250 мАч</t>
  </si>
  <si>
    <t>Р/ст ICOM IC-F3036T 136-174MГц, 128кан., 5Вт,  BP-232WP, Li-ion 2250мАч</t>
  </si>
  <si>
    <t>Р/ст ICOM IC-F4003 400-470MГц, 16кан., 5Вт, Li-Ion 2000 мАч, индивидуальное зарядное устройство</t>
  </si>
  <si>
    <t>Р/ст ICOM IC-F5013 136-174МГц, 8 кан., 25Bт, без дисплея</t>
  </si>
  <si>
    <t>Р/ст ICOM IC-F5013H 136-174МГц, 8 кан., 50Bт, без дисплея</t>
  </si>
  <si>
    <t>Р/ст ICOM IC-F5023H 136-174МГц, 128 кан., 50Bт</t>
  </si>
  <si>
    <t>Р/ст ICOM IC-F5026 146-174МГц, 128 кан., 25Bт</t>
  </si>
  <si>
    <t>Р/ст ICOM IC-F5026H 146-174МГц, 128 кан., 50Bт</t>
  </si>
  <si>
    <t>Р/ст ICOM IC-F6023 400-470МГц, 128 кан., 25Bт</t>
  </si>
  <si>
    <t>Р/ст ICOM IC-F6023H 400-470МГц, 128 кан., 50Bт</t>
  </si>
  <si>
    <t>Ретранслятор ICOM IC-FR5000 136-174МГц, 32кан., 50Bт</t>
  </si>
  <si>
    <t>Ручной микрофон ICOM HM-152 для мобильных р/ст серии F</t>
  </si>
  <si>
    <t>CB-1346 антенна автомобильная 27 МГц (на магнитном основании) 1 м с кабелем 4 м 300 Вт</t>
  </si>
  <si>
    <t>CB-2315 антенна автомобильная 27 МГц (врезная) 1,4 м с кабелем 3,6 м 200 Вт</t>
  </si>
  <si>
    <t>CB-59 антенна автомобильная 27 МГц (врезная) 0,95 м с кабелем 3,6 м 200 Вт</t>
  </si>
  <si>
    <t>CB-2319 антенна автомобильная 27 МГц (врезная) 0,9 м с кабелем 3,6 м 200 Вт</t>
  </si>
  <si>
    <t>CB-2309 антенна автомобильная 27 МГц (врезная) 1,6 м с кабелем 3,6 м 500 Вт</t>
  </si>
  <si>
    <t>LEMM AT-1200 антенна автомобильная 27 МГц (врезная) 1,4 м с кабелем 3,6 м 400 Вт</t>
  </si>
  <si>
    <t>Sirio Snake 27 антенна автомобильная 27МГц (врезная) 1,1 метра с кабелем 3,6 м 40 Вт</t>
  </si>
  <si>
    <t>Hustler 1C-100 антенна автомобильная 27 МГц (на магнитном основании) 1 м с кабелем 4 м 75 Вт</t>
  </si>
  <si>
    <t>LEMM AT-1500 антенна автомобильная 27 МГц (врезная) 1,67 м с кабелем 3,6 м 400 Вт</t>
  </si>
  <si>
    <t>Sirio NEW Delta 27-95 антенна автомобильная 27МГц (врезная) 0,95 метра с кабелем 3,6 м 100 Вт</t>
  </si>
  <si>
    <t>LEMM AT-1700 антенна автомобильная 27 МГц (врезная) 1,88 м с кабелем 3,6 м 400 Вт</t>
  </si>
  <si>
    <t>CB-2307 антенна автомобильная 27 МГц (врезная) 2 м с кабелем 3,6 м 1200 Вт</t>
  </si>
  <si>
    <t>LEMM AT-109 антенна автомобильная 27 МГц (врезная) 1,65 м с кабелем 3,6 м 400 Вт</t>
  </si>
  <si>
    <t>Sirio T3-27 антенна автомобильная 27МГц (врезная) 0,6 метра с кабелем 3,6 м 100 Вт</t>
  </si>
  <si>
    <t>CB-145 антенна автомобильная 27 МГц (на магнитном основании) 1,5 м с кабелем 3,6 м 500 Вт</t>
  </si>
  <si>
    <t>Sirio NEW Delta 27-M95 антенна автомобильная 27МГц (врезная) 0,95 метра с кабелем 3,6 м 100 Вт</t>
  </si>
  <si>
    <t>Sirio Super 9 Blue Line антенна автомобильная 27МГц (врезная) 1,5 метра с кабелем 3,6 м 150 Вт</t>
  </si>
  <si>
    <t>Sirio Carbonium 27 Super антенна автомобильная 27МГц (врезная) 1,4 метра с кабелем 3,6 м 35 Вт</t>
  </si>
  <si>
    <t>Sirio T3-27 MAG антенна автомобильная 27МГц на магнитном основании 0,6 метра с кабелем,100Вт</t>
  </si>
  <si>
    <t>CB-2312 антенна автомобильная 27 МГц (врезная) 1,9 м с кабелем 3,6 м 600 Вт</t>
  </si>
  <si>
    <t>LEMM AT-73 MAGNUM антенна автомобильная 27 МГц (врезная) 1,9 м с кабелем 3,6 м 1000 Вт</t>
  </si>
  <si>
    <t>Sirio MEGAWATT 3000 антенна автомобильная 27МГц (врезная) 1,74 метра с кабелем 3,6 м 1200 Вт</t>
  </si>
  <si>
    <t>Sirio MEGAWATT 4000 антенна автомобильная 27МГц (врезная) 2,03 метра с кабелем 3,6 м 1800 Вт</t>
  </si>
  <si>
    <t>Sirio HI POWER 4000 антенна автомобильная 27МГц (врезная) 2,03 метра с кабелем 3,6 м 600 Вт</t>
  </si>
  <si>
    <t>Sirio Performer 5000 антенна автомобильная 27МГц (врезная) 2 метра с кабелем 3,6 метра 1500 Вт</t>
  </si>
  <si>
    <t>LEMM AT-2001 TURBO антенна автомобильная 27 МГц (врезная) 2,0 м с кабелем 3,6 м 2000 Вт</t>
  </si>
  <si>
    <t>DB-1348U антенна автомобильная 450-470МГц 30Вт на магните, кабель 4м, UHF</t>
  </si>
  <si>
    <t>DB-1348V антенна автомобильная 140-175МГц 30Вт на магните, кабель 4м, UHF</t>
  </si>
  <si>
    <t>DB-1203 антенна автомобильная 144-174МГц, 2.15dBi, SO239, 1.35м 200Вт без кабеля</t>
  </si>
  <si>
    <t>DB-1410UHF антенна автомобильная 430-470МГц, 2.15dBi, NMO, 0.17 м 10 Вт с кабелем 4 м и скобой</t>
  </si>
  <si>
    <t>QCA-02 антенна автомобильная 144/430МГц, 3.5/6 dBi, 0.94 м  без кабеля и крепления</t>
  </si>
  <si>
    <t>DBM-1410UHF антенна автомобильная 430-470МГц, 2.15dBi, NMO, магнит 77мм, 0.17 м 10 Вт с кабелем 4 м</t>
  </si>
  <si>
    <t>DB-1208 антенна автомобильная 144/430 МГц, 3.5/5.2dBi, SO239, 1.06 м 150 Вт без кабеля</t>
  </si>
  <si>
    <t>Hustler RUM-150 антенна втомобильная 148-174MHz, 5/8, 3.4dB, с кабелем и магнитным креплением</t>
  </si>
  <si>
    <t>Hustler RUT-150 автомобильная антенна  148-174MHz, 5/8, 3.4dB, с кабелем и креплением кронштейн</t>
  </si>
  <si>
    <t>Hustler RUM-450 антенна втомобильная 440-470MHz, 5/8, 5dB, с кабелем и магнитным креплением</t>
  </si>
  <si>
    <t>DB-201 антенна автомобильная 380-520МГц, 4dBi, 0,48м, UHF, кабель 4 м, крепление на багажник</t>
  </si>
  <si>
    <t>CB-2316 антенна автомобильная 42-47 МГц (врезная) 1,25 м с кабелем 3,6 м 200 Вт</t>
  </si>
  <si>
    <t>DBV-366W антенна автомобильная 132…174МГц (врезная), 4dBi, 1.46 м 200 Вт с кабелем 3,6 м и креплением на багажник</t>
  </si>
  <si>
    <t>DB-201М антенна автомобильная 380-520МГц, 4dBi, 0,48м, UHF, кабель 4 м, магнит 10 см</t>
  </si>
  <si>
    <t>DB-450 антенна автомобильная 440-470МГц, 3dBi, SO239, 0.5 м 150 Вт c кабелем 3,6 м и магнитным основанием 14 см</t>
  </si>
  <si>
    <t>QCA-02 антенна автомобильная 144/430МГц, 3.5/6 dBi, 0.94 м с кабелем и креплением на багажник</t>
  </si>
  <si>
    <t>QCA-02 антенна автомобильная 144/430МГц, 3.5/6 dBi, 0.94 м с кабелем и магнитным креплением</t>
  </si>
  <si>
    <t>CB-R901 антенна базовая/морская (фибергласс, 1/4 волны, 3,75дБ, 1,8 м с кабелем 3,5 м) 300 Вт</t>
  </si>
  <si>
    <t xml:space="preserve">SIRIO GPS-27 антенна базовая 26.4-29МГц, 1/2, 5.95м, 750Вт, 2.15dBi </t>
  </si>
  <si>
    <t>SIRIO GPE-27 антенна базовая 26.4-29МГц, 5/8, 5.95м, 750Вт, 3.35dBi, 3 противовеса</t>
  </si>
  <si>
    <t xml:space="preserve">SIRIO TORNADO 27 NEW антенна базовая 26-28МГц, 5/8, 7.23м, 3.5dBi, 1000Вт, 4 противовеса </t>
  </si>
  <si>
    <t>SIRIO SY-27-4 антенна базовая направленная Yagi 4-элементная 26-28МГц, 13.5dBi, 3000Вт РЕР</t>
  </si>
  <si>
    <t>SIRIO 827 антенна базовая 26-29МГц, 5/8, 6.7м, 1000Вт, 3.65dBi, 8 противовесов</t>
  </si>
  <si>
    <t>BS-102 Антенна базовая 144/430 Мгц, 3/5.5dBi, 1.3 м, 200Вт</t>
  </si>
  <si>
    <t>BS-101V Антенна базовая 132-174МГц 8.3дБ 2.56м 150Вт</t>
  </si>
  <si>
    <t>BS-101U Антенна базовая 430-520МГц 8.3дБ 2.56м 150Вт</t>
  </si>
  <si>
    <t>Sirio GPF-22N Антенна базовая 135-175МГц, 5.95dBi, 3.23м, 200Вт</t>
  </si>
  <si>
    <t>BS-201 Антенна базовая 144/430 Мгц, 6.5/9dBi, 3.1 м, 200Вт</t>
  </si>
  <si>
    <t>Sirio SPO-420-5 Антенна базовая 420-470МГц, 5.15dBi, 1.38м, 75Вт базовая/морская</t>
  </si>
  <si>
    <t xml:space="preserve">OM-86NF Антенна базовая WiFI 2.4-2.5GHz 12dBi 1.6м </t>
  </si>
  <si>
    <t xml:space="preserve">OM-85NF Антенна базовая WiFI 2.4-2.5GHz 15dBi 1.03м </t>
  </si>
  <si>
    <t xml:space="preserve">OM-88LNF Антенна базовая WiFi 2.4-2.5GHz 12dBi 1.22м </t>
  </si>
  <si>
    <t>IA-GU2 Антенна внутренняя для SGU-5055, 890-960/1920-2170МГц, 2/2 dBi, TNC-M</t>
  </si>
  <si>
    <t>IA-GD2 Антенна внутренняя для SGD-5055, 890-960/1710-1880МГц, 2/2 dBi, TNC-M</t>
  </si>
  <si>
    <t>QX-005B Антенна внутренняя 890-960МГц, 3dBi, N-типа</t>
  </si>
  <si>
    <t>QX-005B Антенна внутренняя 1920-2170МГц, 3dBi, N-типа</t>
  </si>
  <si>
    <t>QX-001B Антенна внутренняя 806-960МГц/1710-2500МГц, 3dBi, N-типа</t>
  </si>
  <si>
    <t>IA-F3 Антенна внутренняя 698-960/1710-2700МГц 2/3дБ N-типа</t>
  </si>
  <si>
    <t>IA-F46 Антенна внутренняя направленная 698-2700МГц, 4/6dBi, N-типа</t>
  </si>
  <si>
    <t>QX-004B Антенна панельная 890-960МГц/1710-2500МГц, 7dBi/9dBi, N-типа</t>
  </si>
  <si>
    <t>PA-F78OD Антенна панельная 698-960/1710-2700МГц 6.8/9.4 dBi, N-типа</t>
  </si>
  <si>
    <t>QX-001H Антенна внешняя направленная Yagi, 13dBi, 890-960МГц, кабель 10м, N-типа</t>
  </si>
  <si>
    <t>QX-002B Антенна внутренняя 890-960/1920-2500Мгц, 7dBi/9dBi, N-типа</t>
  </si>
  <si>
    <t>TC-901N базовая антенна 800/900/1800/1900МГц 83 см, N-тип, с креплением на мачте</t>
  </si>
  <si>
    <t>QX-004H Антенна внешняя направленная, 890-960МГц/1920-2170МГц, 9dBi, N-типа</t>
  </si>
  <si>
    <t>QX-008B сплиттер 800-2500МГц, 2 выхода, N-типа</t>
  </si>
  <si>
    <t>QX-014B ответвитель мощности -15дБ, 50Вт , N-типа</t>
  </si>
  <si>
    <t>QX-015B -5дБ ответвитель мощности -5дБ, 100Вт, N-типа</t>
  </si>
  <si>
    <t>QX-015B -10дБ ответвитель мощности -10дБ, 100Вт, N-типа</t>
  </si>
  <si>
    <t>QX-015B -15дБ ответвитель мощности -15дБ, 100Вт, N-типа</t>
  </si>
  <si>
    <t>QX-009B сплиттер 800-2500Мгц, 3 выхода, N-Типа</t>
  </si>
  <si>
    <t>QX-010B сплиттер 800-2500МГц, 4 выхода, N-типа</t>
  </si>
  <si>
    <t>Антенна для Climbmax ЕМ-9735 136-174МГц</t>
  </si>
  <si>
    <t>Антенна для Climbmax ЕМ-9735 400-470МГц</t>
  </si>
  <si>
    <t>Антенна для Quansheng TG-A8 400-480МГц</t>
  </si>
  <si>
    <t>Антенна для Quansheng TG-1680 400-480МГц</t>
  </si>
  <si>
    <t>Антенна для Puxing PX-2R 400-470МГц</t>
  </si>
  <si>
    <t>Антенна для Puxing PX-359 400-470МГц</t>
  </si>
  <si>
    <t>Антенна для AT-628G 400-480МГц</t>
  </si>
  <si>
    <t>Антенна для AT-3308 (НУКЕР)</t>
  </si>
  <si>
    <t>Антенна для Kirisun PT-260 400-470МГц</t>
  </si>
  <si>
    <t>Антенна для Baofeng UV-5R 136-174/400-480МГц</t>
  </si>
  <si>
    <t>Антенна для AT-3318UV 136-174/400-480МГц двухдиапазонная</t>
  </si>
  <si>
    <t>Антенна для ST-118 27МГц спиральная 0.2м BNC</t>
  </si>
  <si>
    <t xml:space="preserve">CB-3101 антенна телескопическая 27МГц 50Вт 0,6м BNC </t>
  </si>
  <si>
    <t>Катушка СВ145 без штыря</t>
  </si>
  <si>
    <t>Штырь 0.9 метра с катушкой для СВ2319</t>
  </si>
  <si>
    <t>Штырь 1,6 метра для СВ2309/2315/145/Sirio Super 9</t>
  </si>
  <si>
    <t>Штырь 2 метра для СВ2307/СВ2312</t>
  </si>
  <si>
    <t>Кабель 4м UHF-DV для СВ59/2315/2309/Sirio 9</t>
  </si>
  <si>
    <t>Крепление для СВ2309/2315/145/Sirio Super 9</t>
  </si>
  <si>
    <t>Крепление для  СВ2307/СВ2312</t>
  </si>
  <si>
    <t>MT-1303 магнитное основание 14 см с кабелем 3,6 метра и разъемом PL259</t>
  </si>
  <si>
    <t>Кабель 4м UHF с креплением на багажник</t>
  </si>
  <si>
    <t>Кабель 4м NMO с креплением на багажник</t>
  </si>
  <si>
    <t>Держатель штыря СВ2307/СВ2312</t>
  </si>
  <si>
    <t>Колпачок СВ59/T3-27/NEW DELTA</t>
  </si>
  <si>
    <t>AnyTone AT-400 Репитер GSM900 покрытие до 80 кв.м</t>
  </si>
  <si>
    <t>AnyTone AT-400C Репитер CDMA покрытие до 80 кв. м</t>
  </si>
  <si>
    <t>AnyTone AT-408 Репитер GSM900 автомобильный</t>
  </si>
  <si>
    <t>AnyTone AT-408C Репитер CDMA автомобильный</t>
  </si>
  <si>
    <t>AnyTone AT-500 Репитер GSM900 покрытие до 150 кв.м</t>
  </si>
  <si>
    <t>AnyTone AT-4000W Репитер 3G покрытие до 100 кв.м</t>
  </si>
  <si>
    <t>AnyTone AT-600 Репитер GSM900 покрытие до 300 кв.м</t>
  </si>
  <si>
    <t>AnyTone AT-600C Репитер CDMA покрытие до 300 кв.м</t>
  </si>
  <si>
    <t>AnyTone AT-4000D Репитер DCS/LTE/4G покрытие до 100 кв.м</t>
  </si>
  <si>
    <t>AnyTone AT-608 Репитер GSM900 покрытие до 600 кв.м</t>
  </si>
  <si>
    <t>ClearCast SGD-5055 Репитер GSM900/1800 покрытие до 500 кв.м.</t>
  </si>
  <si>
    <t>ClearCast SGU-5055 Репитер GSM900+3G покрытие до 500 кв.м.</t>
  </si>
  <si>
    <t>AnyTone AT-6000W Репитер 3G покрытие до 300 кв.м</t>
  </si>
  <si>
    <t>AnyTone AT-700 Репитер GSM900 покрытие до 800 кв.м</t>
  </si>
  <si>
    <t>AnyTone AT-6000D Репитер DCS/4G/LTE покрытие до 400 кв.м.</t>
  </si>
  <si>
    <t>AnyTone AT-800 Репитер GSM900 покрытие до 1200 кв.м</t>
  </si>
  <si>
    <t>AnyTone AT-4100GW Репитер GSM900+3G покрытие до 100 кв. м</t>
  </si>
  <si>
    <t>AnyTone AT-4100GD Репитер GSM900/1800 покрытие до 100 кв. м</t>
  </si>
  <si>
    <t>AnyTone AT-6000GW Репитер GSM900+3G покрытие до 300 кв. м</t>
  </si>
  <si>
    <t>AnyTone AT-6100GW Репитер GSM900+3G покрытие до 500 кв. м</t>
  </si>
  <si>
    <t>AnyTone AT-6100GD Репитер GSM900/1800 покрытие до 500 кв. м</t>
  </si>
  <si>
    <t>AnyTone AT-6200GW Репитер GSM900+3G покрытие до 800 кв. м</t>
  </si>
  <si>
    <t>AnyTone AT-6200GD Репитер GSM900/1800 покрытие до 800 кв. м</t>
  </si>
  <si>
    <t>МТП - 6 Мачта телескопическая RadioТехник, высота 5,71 м, вес 8,20 кг, Стальные трубы Ø 32, 40 и 45мм; длина колен 1980 мм, толщина стенок 1,5 мм, такелаж, на плоскую поверхность</t>
  </si>
  <si>
    <t>МТП - 6С Мачта телескопическая RadioТехник, высота 5,71 м, вес 8,20 кг, Стальные трубы Ø 32, 40 и 45мм; длина колен 1980 мм, толщина стенок 1,5 мм, кронштейны, крепление на стену</t>
  </si>
  <si>
    <t>МТП - 8 Мачта телескопическая RadioТехник  высота 7,56 м, вес 11,90 кг, Стальные трубы Ø 32, 40, 45 и 51мм; длина колен 1980 мм, толщина стенок 1,5 мм, такелаж, на плоскую поверхность</t>
  </si>
  <si>
    <t>МТП - 10 Мачта телескопическая RadioТехник  высота 9,41 м, вес 16,03 кг, Стальные трубы Ø 32, 40, 45, 51 и 57мм; длина колен 1980 мм, толщина стенок 1,5 мм, такелаж, на плоскую поверхность</t>
  </si>
  <si>
    <t>МТП - 12  Мачта телескопическая RadioТехник  высота 11,26 м, вес 20,56 кг,   Стальные трубы Ø 32, 40, 45, 51, 57 и 63мм; длина колен 1980 мм, толщина стенок 1,5 мм, такелаж, на плоскую поверхность</t>
  </si>
  <si>
    <t>МТП - 14  Мачта телескопическая RadioТехник  высота длина рабочая 13,11 м, вес 25,61 кг Стальные трубы Ø 32, 40, 45, 51, 57, 63 и 70мм; длина колен 1980 мм, толщина стенок 1,5 мм, такелаж, на плоскую поверхность</t>
  </si>
  <si>
    <t>МА - 4 Мачта составная алюминиевая RadioТехник высота 4 м, вес 3,5 кг, трубы Ø 50 мм; длина колена 2 м, толщина стенок 2 мм, такелаж, на плоскую поверхность</t>
  </si>
  <si>
    <t>МА - 6 Мачта составная алюминиевая RadioТехник, высота 6 м, вес 4,6 кг,  трубы Ø 50 мм; длина колена 2 м, толщина стенок 2 мм, такелаж, на плоскую поверхность</t>
  </si>
  <si>
    <t>МА - 8 Мачта составная алюминиевая RadioТехник, высота 8 м, вес 6,7 кг, трубы Ø 50 мм; длина колен 2 м, толщина стенок 2 мм, такелаж, на плоскую поверхность</t>
  </si>
  <si>
    <t>МА - 10 Мачта составная алюминиевая RadioТехник  высота 10 м, вес 8,50 кг, трубы Ø 50мм; длина колена2 м, толщина стенок 2 мм, такелаж, на плоскую поверхность</t>
  </si>
  <si>
    <t>МТЛ-12 Мачта телескопическая алюминиевая RadioТехник, высота 12 метров, вес 10.1 кг, длина колен 2 м, такелаж, на плоскую поверхность</t>
  </si>
  <si>
    <t>Кронштейн стеновой S-образный, 0,5 м СК-S-0,5</t>
  </si>
  <si>
    <t>Кронштейн стеновой для крепления мачты М- образный КС-ММ-035</t>
  </si>
  <si>
    <t>Вилка для установки двух антенн на одну мачту</t>
  </si>
  <si>
    <t>Гарнитура ларингофонная TV-001 для радиостанций EM9735/AT628G/AT288/AT289/AT-3308/НУКЕР/PX-359/AT-518P/AT-3318UV/PT-260/TG-1680</t>
  </si>
  <si>
    <t>Гарнитура скрытого ношения трубочная АС-002 для радиостанций EM9735/AT628G/AT288/AT289/AT-3308/НУКЕР/PX-359/AT-518P/AT-3318UV/PT-260/TG-1680</t>
  </si>
  <si>
    <t>Гарнитура скрытого ношения трубочная EAR-4 для радиостанций EM9735/AT628G/AT288/AT289/AT-3308/НУКЕР/PX-359/AT-518P/AT-3318UV/PT-260/TG-1680</t>
  </si>
  <si>
    <t>Гарнитура скрытого ношения трубочная ACH-4040 для радиостанций EM9735/AT628G/AT288/AT289/AT-3308/НУКЕР/PX-359/AT-518P/AT-3318UV/PT-260/TG-1680</t>
  </si>
  <si>
    <t>Гарнитура универсальная с увеличенным динамиком ECH-3070 для радиостанций EM9735/AT628G/AT288/AT289/AT-3308/НУКЕР/PX-359/AT-518P/AT-3318UV/PT-260/TG-1680</t>
  </si>
  <si>
    <t>Гарнитура универсальная с выносной кнопкой ECH-1040 для радиостанций EM9735/AT628G/AT288/AT289/AT-3308/НУКЕР/PX-359/AT-518P/AT-3318UV/PT-260/TG-1680</t>
  </si>
  <si>
    <t>Гарнитура универсальная с выносной кнопкой BCL-2010 для радиостанций EM9735/AT628G/AT288/AT289/AT-3308/НУКЕР/PX-359/AT-518P/AT-3318UV/PT-260/TG-1680</t>
  </si>
  <si>
    <t>Гарнитура универсальная с выносной кнопкой EAR-6 для радиостанций EM9735/AT628G/AT288/AT289/AT-3308/НУКЕР/PX-359/AT-518P/AT-3318UV/PT-260/TG-1680</t>
  </si>
  <si>
    <t>Гарнитура универсальная EE-004 с удлиненным микрофоном для радиостанций EM9735/AT628G/AT288/AT289/AT-3308/НУКЕР/PX-359/AT-518P/AT-3318UV/PT-260/TG-1680</t>
  </si>
  <si>
    <t>Гарнитура универсальная с усиленным шнуром FH-003 для радиостанций EM9735/AT628G/AT288/AT289/AT-3308/НУКЕР/PX-359/AT-518P/AT-3318UV/PT-260/TG-1680</t>
  </si>
  <si>
    <t>Гарнитура выносная QHM-22  для радиостанций EM9735/AT628G/AT288/AT289/AT-3308/НУКЕР/PX-359/AT-518P/AT-3318UV/PT-260/TG-1680</t>
  </si>
  <si>
    <t>Держатель тангенты для автомобильной радиостанции Yosan/Anytone</t>
  </si>
  <si>
    <t>Гарнитура для радиостанции Puxing PX-2R</t>
  </si>
  <si>
    <t>Гарнитура для AnyTone AT-5189</t>
  </si>
  <si>
    <t>Гарнитура для Yosan JC-200/JC-300/СВ-50</t>
  </si>
  <si>
    <t>Гарнитура для Yosan Trucker/Excalibur</t>
  </si>
  <si>
    <t>Микрофон настольный QHM-10 для р/с AnyTone AT-5189/AT-588</t>
  </si>
  <si>
    <t>Аккумулятор АА 2000мАч (пара)</t>
  </si>
  <si>
    <t>BL-2R Аккумуляторная батарея li-ion 3.7В 1100 мАч для Puxing PX-2R</t>
  </si>
  <si>
    <t>BL-5 аккумуляторная батарея Li-Ion 1800мАч для р/с Baofeng UV-5R/UV-5R Pro</t>
  </si>
  <si>
    <t>CPS-11 адаптер для питания от прикуривателя р/с AnyTone AT288/AT289/AT289P/AT3318UV</t>
  </si>
  <si>
    <t>QB-27L аккумуляторная батарея Li-ion 1500 мАч для AT-628G</t>
  </si>
  <si>
    <t>Аккумуляторная батарея Li-ion 1500 мАч для TG-A8</t>
  </si>
  <si>
    <t>KB-260 аккумуляторная батарея Li-Ion 1200 мАч для Kirisun PT-260</t>
  </si>
  <si>
    <t>QB-38L аккумуляторная батарея Li-ion 2000 мАч для AT-518</t>
  </si>
  <si>
    <t>PB-33L аккумуляторная батарея Li-ion 1600 мАч для PX-359</t>
  </si>
  <si>
    <t>BP-62L аккумуляторная батарея Li-ion 1500 мАч для ЕМ-9735</t>
  </si>
  <si>
    <t>QB-28L аккумуляторная батарея Li-ion 1600 мАч для АТ-3308/НУКЕР</t>
  </si>
  <si>
    <t>QB-37L аккумуляторная батарея Li-ion 1800 мАч для AT-288/289/289Р/3318</t>
  </si>
  <si>
    <t>KNB-15 аккумуляторная батарея NI-MH 1800 мАч для Kenwood TK-272,TK-372, TK-270, TK-370,TK-270G, TK-370G, TK-260G, TK-360G,TK-2107, TK-3107, TK-2106, TK-3106</t>
  </si>
  <si>
    <t>Аккумуляторная батарея Li-Ion 3500 мАч для Quansheng TG-1680</t>
  </si>
  <si>
    <t>KL60 RM антенный усилитель 35Вт 25-30МГц</t>
  </si>
  <si>
    <t>KL203 RM антенный усилитель 100Вт 18-30МГц</t>
  </si>
  <si>
    <t>KL203P RM антенный усилитель 100Вт 18-30МГц c предусилителем</t>
  </si>
  <si>
    <t>KL243 RM антенный усилитель 100Вт 42-47МГц</t>
  </si>
  <si>
    <t>KL155 RM антенный согласователь 45Вт 150-170МГц</t>
  </si>
  <si>
    <t>LA144 RM антенный усилитель 70Вт 135-175МГц</t>
  </si>
  <si>
    <t>KL300 RM антенный усилитель150Вт 3-30МГц</t>
  </si>
  <si>
    <t>LA145 RM антенный усилитель 85Вт 135-175МГц</t>
  </si>
  <si>
    <t>KL400 RM антенный усилитель 200Вт 3-30МГц с предусилителем</t>
  </si>
  <si>
    <t>KL405 RM антенный усилитель 200Вт 1.8-30МГц с предусилителем</t>
  </si>
  <si>
    <t>KL500 RM антенный усилитель 300Вт 3-30МГц с предусилителем</t>
  </si>
  <si>
    <t>KL503 RM антенный усилитель 300Вт 18-30МГц с предусилителем</t>
  </si>
  <si>
    <t>KL505 RM антенный усилитель 300Вт 3-30МГц с предусилителем</t>
  </si>
  <si>
    <t>KL800 RM антенный усилитель 600Вт 24-30МГц с предусилителем</t>
  </si>
  <si>
    <t>VLA200V антенный усилитель 200Вт 140-150МГц</t>
  </si>
  <si>
    <t>HLA300V Plus RM антенный усилитель300Вт 3-30МГц с защитой</t>
  </si>
  <si>
    <t xml:space="preserve">HLA300V Plus антенный усилитель 300Вт 1.8-30МГц </t>
  </si>
  <si>
    <t>MiWi S-15-5 импульсный блок питания 5V 3А гарантия 1 год</t>
  </si>
  <si>
    <t>MiWi S-35-5 импульсный блок питания 5V 7А гарантия 1 год</t>
  </si>
  <si>
    <t>MiWi S-60-5 импульсный блок питания 5V 12А гарантия 1 год</t>
  </si>
  <si>
    <t>MiWi S-60-12 импульсный блок питания 12V 5А гарантия 1 год</t>
  </si>
  <si>
    <t>MiWi D-60A импульсный блок питания двухканальный 5V/4.6А + 12V/5A гарантия 1 год</t>
  </si>
  <si>
    <t>MiWi S-120-12 импульсный блок питания 12V 10А гарантия 1 год</t>
  </si>
  <si>
    <t>MiWi D-120A импульсный блок питания двухканальный 5V/12А + 12V/5A гарантия 1 год</t>
  </si>
  <si>
    <t>MiWi S-201-12 импульсный блок питания 12V 16.5А гарантия 1 год</t>
  </si>
  <si>
    <t>MiWi S-250-12 импульсный блок питания 12V 20А гарантия 1 год</t>
  </si>
  <si>
    <t>MiWi S-350-12 импульсный блок питания 12V 29А гарантия 1 год</t>
  </si>
  <si>
    <t>Кабель питания зарядного устройcтва от прикуривателя PT260/EM9735/PX358/AT288/AT289/AT3318/AT3308</t>
  </si>
  <si>
    <t>ES-603 внешний громкоговоритель 5Вт 8Ом, кабель 1,8м</t>
  </si>
  <si>
    <t>ES-602 внешний громкоговоритель 3Вт 8Ом с регулятором громкости, кабель 1,8м</t>
  </si>
  <si>
    <t>ES-604 внешний громкоговоритель 7Вт 8Ом, увеличенный динамик, кабель 1,8м</t>
  </si>
  <si>
    <t>AC04CHEV Пластина для крепления антенны под широкий релинг</t>
  </si>
  <si>
    <t>AC04DODGE Пластина для крепления антенны под узкий релинг</t>
  </si>
  <si>
    <t xml:space="preserve">МТ3201 скоба для крепления антенны на багажник </t>
  </si>
  <si>
    <t>МТ100 скоба для крепления антенны на багажник или мачту</t>
  </si>
  <si>
    <t>AC504X Скоба для крепления антенны на зеркало или мачту</t>
  </si>
  <si>
    <t>TR606 Cкоба для крепления антенны на водосток</t>
  </si>
  <si>
    <t>KF Black Sirio Скоба для крепления антенны на водосток</t>
  </si>
  <si>
    <t>MT3301 Cкоба для крепления антенны на водосток поворотная</t>
  </si>
  <si>
    <t>MT3203 Cкоба для крепления антенны на багажник поворотная</t>
  </si>
  <si>
    <t>MT3202 Cкоба для крепления антенны на водосток поворотная</t>
  </si>
  <si>
    <t>Кабель питания зарядного устройcтва от прикуривателя AT-628G</t>
  </si>
  <si>
    <t>Зарядное устройство CH-5 для Baofeng UV-5R</t>
  </si>
  <si>
    <t>Зарядное устройство для Puxing PX-2R</t>
  </si>
  <si>
    <t>Зарядное устройство (стакан) для PT-260</t>
  </si>
  <si>
    <t>Зарядное устройство (стакан) для AT-628</t>
  </si>
  <si>
    <t>Зарядное устройство (стакан) для TG-A8</t>
  </si>
  <si>
    <t>Зарядное устройство (стакан) для TG-1680</t>
  </si>
  <si>
    <t>Зарядное устройство (стакан) для ЕМ-9735</t>
  </si>
  <si>
    <t>Зарядное устройство (стакан) для PX-359</t>
  </si>
  <si>
    <t>Зарядное устройство (стакан) для AT-288/289</t>
  </si>
  <si>
    <t>Зарядное устройство (стакан) для AT-3308/НУКЕР</t>
  </si>
  <si>
    <t>Групповое зарядное устройство на 8 аккумуляторов LiIon QB-28L/KNB-29</t>
  </si>
  <si>
    <t xml:space="preserve">Кабель коаксиальный Teleconn RG-214 50 Ом </t>
  </si>
  <si>
    <t xml:space="preserve">Кабель коаксиальный Teleconn LMR-400 50 Ом </t>
  </si>
  <si>
    <t>Кабель коаксиальный Teleconn 7D-FB 50 Ом</t>
  </si>
  <si>
    <t>Кабель коаксиальный Teleconn 8D-FB 50 Ом</t>
  </si>
  <si>
    <t>PC-1 USB кабель для программирования радиостанций AnyTone/Climbmax/Kirisan/Kenwood</t>
  </si>
  <si>
    <t>PC-2 USB кабель для программирования радиостанций HYT TC-320/AnyTone AT-5289</t>
  </si>
  <si>
    <t>PC-3 USB кабель для программирования радиостанций AnyTone AT-5189/ST-5189</t>
  </si>
  <si>
    <t>PC-4 USB кабель для программирования радиостанций AnyTone AT-5555</t>
  </si>
  <si>
    <t>USB кабель для программирования радиостанций Puxing PX-2R</t>
  </si>
  <si>
    <t>Эквивалент нагрузки 0-3ГГЦ 25Вт N-типа</t>
  </si>
  <si>
    <t>Эквивалент нагрузки 0-3ГГЦ 100Вт N-типа</t>
  </si>
  <si>
    <t>Грозоразрядник 0-6ГГц 50Вт N/F-N/M 50Ом</t>
  </si>
  <si>
    <t>Грозоразрядник 0-6ГГц 50Вт UHF/F-UHF/M 50Ом</t>
  </si>
  <si>
    <t>Чехол кожаный для PX-359/EM-9735</t>
  </si>
  <si>
    <t>MIX27 антенный разветвитель (CB/автомагнитола)</t>
  </si>
  <si>
    <t>Переходник N(M)-F(F) для кабеля RG-6U</t>
  </si>
  <si>
    <t>Переходник N(M)-N(M)</t>
  </si>
  <si>
    <t>Переходник N(F)-N(F)</t>
  </si>
  <si>
    <t>Переходник TNC(M)-F(F) для кабеля RG-6U</t>
  </si>
  <si>
    <t>Переходник BNC(M)-N(F)</t>
  </si>
  <si>
    <t>Переходник SMA-F/N-F</t>
  </si>
  <si>
    <t>Переходник SMA-M/N-F</t>
  </si>
  <si>
    <t>Переходник SMA-F/UHF-F</t>
  </si>
  <si>
    <t>Переходник SMA-M/UHF-F</t>
  </si>
  <si>
    <t>Коннектор F(M) для кабеля RG-6U</t>
  </si>
  <si>
    <t>Коннектор N(M) типа для кабеля LMR400/7D-FB под обжим</t>
  </si>
  <si>
    <t>Коннектор N(F) типа для кабеля LMR400/7D-FB под пайку</t>
  </si>
  <si>
    <t>PL259 разъем для кабеля RG-213 под пайку</t>
  </si>
  <si>
    <t>PL259 разъем для кабеля RG-58 под пайку</t>
  </si>
  <si>
    <t>PL259 разъем для кабеля RG-58 под обжим</t>
  </si>
  <si>
    <t xml:space="preserve">AX-2014P MIMO 2*14 дБ/2*N-female нтенна 3G/4G панельная направленная </t>
  </si>
  <si>
    <t>AX-2008R антенна 3G всенаправленная внешняя, 8dBi, N-female</t>
  </si>
  <si>
    <t>Комплект для усиления сигнала 4G LTE ALTEL (антенна MIMO + 2 кабеля 10 м + 2 питгейла CRC-9)</t>
  </si>
  <si>
    <t>Комплект для усиления сигнала 4G LTE ALTEL (антенна MIMO + 2 кабеля 10 м + 2 питгейла TS-9)</t>
  </si>
  <si>
    <t>Питгейл SMA(f) - CRC9 угловой</t>
  </si>
  <si>
    <t>Питгейл SMA(f) - TS9 угловой</t>
  </si>
  <si>
    <t>M30D2 Мачта составная, высота 3 м, вес 2,7 кг,  длина колен 1500 мм, проволока для растяжек, на плоскую поверхность</t>
  </si>
  <si>
    <t>Гарнитура ларингофонная регулируемая с выносной кнопкой TP15-P23K1 с интерфейсом Тип К1</t>
  </si>
  <si>
    <t>Гарнитура скрытого ношения трубочная EP68-P12K1 с интерфейсом Тип К1</t>
  </si>
  <si>
    <t>Гарнитура скрытого ношения трубочная с выносной кнопкой EP31-P23K1  с интерфейсом Тип К1</t>
  </si>
  <si>
    <t>МТП - 4 Мачта телескопическая RadioТехник высота 3,86 м, вес 5,09 кг, Стальные трубы Ø 32 и 40 мм; длина колен 1980 мм, толщина стенок 1,5 мм, такелаж, на плоскую поверхность</t>
  </si>
  <si>
    <t>Sirio SD-1300 антенна дискоконусная 25-1300МГц 300Вт (VHF)/200Вт (UHF)</t>
  </si>
  <si>
    <t>QX -007B кабельная сборка 50 Ом, 5м, с разъемами N-типа</t>
  </si>
  <si>
    <t>AC-5830 кабельная сборка 50 Ом PL259-PL259 30 см</t>
  </si>
  <si>
    <t>AC-5890 кабельная сборка 50 Ом PL259-PL259 90 см</t>
  </si>
  <si>
    <t>ClearCast CU-30 Репитер 3G автомобильный</t>
  </si>
  <si>
    <t>ClearCast MD-45 Репитер DCS/LTE/4G покрытие до 150 кв.м</t>
  </si>
  <si>
    <t>RG-174/U Антенна внутренняя индукционная 3G для CU-30 1920-2170МГц c держателем на присоске</t>
  </si>
  <si>
    <t>MMA-GU-23-3m Антенна наружная 3G для CU-30 1920-2170МГц 9dBi с кабелем 3м</t>
  </si>
  <si>
    <t>Sirio ML-145 MAG антенна автомобильная 27 МГц (на магнитном основании) 1,5 м с кабелем 3,6 м 500 Вт</t>
  </si>
  <si>
    <t>MAG 125 PL магнитное основание 12 см с кабелем 3.6 м и разъемом UHF</t>
  </si>
  <si>
    <t>Коннектор "N" антенный для Sirio Super 9 Blue Line</t>
  </si>
  <si>
    <t>Коннектор "TURBO" антенный для Sirio Turbo/Performer</t>
  </si>
  <si>
    <t xml:space="preserve">Коннектор "NE" антенный </t>
  </si>
  <si>
    <t>AnyTone AT-7100GDW Репитер GSM900/1800/2100 покрытие до 600 кв. м</t>
  </si>
  <si>
    <t>Nextivity Cel-Fi RS2 Dual Репитер беспроводной 3G, покрытие до 1235 кв.м, один оператор</t>
  </si>
  <si>
    <t>Гарнитура универсальная EAR-628 с выносной кнопкой для радиостанций EM9735/AT628G/AT288/AT289/AT-3308/НУКЕР/PX-359/AT-518P/AT-3318UV/PT-260/TG-1680</t>
  </si>
  <si>
    <t>YOSAN JC-650Turbo р/ст авто, 27МГц 240 каналов, АМ/ЧМ 18 Вт EU+RU</t>
  </si>
  <si>
    <t xml:space="preserve">YOSAN CB-100 рр/ст авто, 27МГц 480 каналов АМ/ЧМ 8Вт EU+RU съемная панель </t>
  </si>
  <si>
    <t>YOSAN EXCALIBUR р/ст авто, 27МГц 1350 каналов АМ/ЧМ 9 Вт EU+ RU 1 DIN</t>
  </si>
  <si>
    <t xml:space="preserve">Р/ст AnyTone AT-518 400-480МГц, 3Вт, Li-Ion 2000мАч, зарядное устройство </t>
  </si>
  <si>
    <t>YOSAN CB-200 р/ст авто, 27МГц 480 каналов АМ/ЧМ 8Вт EU+RU управление с микрофона</t>
  </si>
  <si>
    <t>Набор для выноса передней панели AT-588UV (кабель 3м, скоба для панели)</t>
  </si>
  <si>
    <t>AnyTone AT-400 Turbo Репитер GSM900 покрытие до 120 кв.м</t>
  </si>
  <si>
    <t>ANT-V2 Антенна наружная GSM900/1800 14dBi для Termit FixPhone V2 SMA с кабелем 9м</t>
  </si>
  <si>
    <t>Termit FixPhone V2 стационарный телефон GSM900/1800</t>
  </si>
  <si>
    <t>Р/ст Тушкан, 403-470МГц, 2Вт, Li-Ion 1400мАч, зарядное устройство, гарантия 12 мес</t>
  </si>
  <si>
    <t>01. Радиостанции гражданского диапазона 27МГц(СВ)</t>
  </si>
  <si>
    <t xml:space="preserve">YOSAN JC-300Plus р/ст авто, 27МГц 120 каналов, АМ/ЧМ 7 Вт EU+ RU  </t>
  </si>
  <si>
    <t xml:space="preserve">YOSAN PRO-110 р/ст авто, 27МГц 120 каналов, АМ/ЧМ 8 Вт EU+ RU  </t>
  </si>
  <si>
    <t>Р/ст AnyTone AT-5189 134-176МГц, 250 каналов, 60/25/10 Вт  Гарантия 2 года!</t>
  </si>
  <si>
    <t>Р/ст AnyTone AT-588UV 136-174/400-490МГц, 758 каналов, 5/10/20/50Вт VHF, 5/10/25/40Вт UHF  Гарантия 2 года!</t>
  </si>
  <si>
    <t>Р/ст AnyTone AT-628G 400-480МГц, 3Вт, Li-Ion 1500мАч, зарядное устройство, гарнитура, Гарантия 2 года!</t>
  </si>
  <si>
    <t>Р/ст Baofeng UV-5R Pro 136-174/400-480МГц, 5Вт, Li-Ion 1800мАч, зарядное устройство, гарнитура, гарантия 1 год</t>
  </si>
  <si>
    <t>Р/ст AnyTone AT-518 TURBO 400-480МГц, 5Вт, Li-Ion 1350мАч, зарядное устройство  Гарантия 2 года!</t>
  </si>
  <si>
    <t>Р/ст НУКЕР (AnyTone AT-3308) 400-480МГц, 5Вт, Li-Ion 1600мАч, гарнитура  Гарантия 2 года!</t>
  </si>
  <si>
    <t>Р/ст AnyTone AT-298  136-174МГц 6.5Вт, Li-Ion 2200мАч, зарядное устройство  Гарантия 2 года!</t>
  </si>
  <si>
    <t>Р/ст AnyTone AT-298  400-480МГц 6.5Вт, Li-Ion 2200мАч, зарядное устройство  Гарантия 2 года!</t>
  </si>
  <si>
    <t>Р/ст AnyTone AT-289 400-480МГц 5Вт, Li-Ion 1800мАч, зарядное устройство  Гарантия 2 года!</t>
  </si>
  <si>
    <t>Р/ст AnyTone AT-289 136-174МГц 5Вт, Li-Ion 1800мАч, зарядное устройство  Гарантия 2 года!</t>
  </si>
  <si>
    <t>Р/ст AnyTone AT-288 136-174МГц 4Вт, Li-Ion 1800 мАч, зарядное устройство  Гарантия 2 года!</t>
  </si>
  <si>
    <t>Р/ст AnyTone AT-288 400-470МГц 5Вт, Li-Ion 1800мАч, зарядное устройство  Гарантия 2 года!</t>
  </si>
  <si>
    <t>Р/ст AnyTone AT-289P влагозащищенная (IP67) 136-174МГц 5Вт, Li-Ion 1800 мАч зарядное устройство  Гарантия 2 года!</t>
  </si>
  <si>
    <t>Р/ст AnyTone AT-289P влагозащищенная (IP67)  400-480МГц 5Вт, Li-Ion  1800мАч зарядное устройство  Гарантия 2 года!</t>
  </si>
  <si>
    <t>AnyTone ST-118 радиостанция носимая 27МГц 16 каналов ЧМ 5Вт EU+RU  Гарантия 2 года!</t>
  </si>
  <si>
    <t xml:space="preserve">Кабельная сборка 50 Ом N-male/RG-58 10м/SMA-male </t>
  </si>
  <si>
    <t>ANTA-823 измеритель КСВ 25-30МГц 10Вт</t>
  </si>
  <si>
    <t>Переходник BNC(M)-UHF(F)</t>
  </si>
  <si>
    <t>Штырь с креплением NMO для антенны DB-1410UHF</t>
  </si>
  <si>
    <t>Штырь с креплением NMO для антенны DB-1410VHF</t>
  </si>
  <si>
    <t>Антенна для AT-518/AT-518 Turbo 400-480МГц</t>
  </si>
  <si>
    <t>Антенна для AT-288/АТ-289/AT-289P 136-174МГц</t>
  </si>
  <si>
    <t>Антенна для AT-288/АТ-289/AT-289P 400-480МГц</t>
  </si>
  <si>
    <t>DB-U9401 антенна морская 450-470МГц, 5дБ, 40Вт, кабель 5 м, UHF</t>
  </si>
  <si>
    <t>Кабель коаксиальный Teleconn RG-6 65% 75 Ом</t>
  </si>
  <si>
    <t>Кабель коаксиальный Teleconn RG-6 90% 75 Ом</t>
  </si>
  <si>
    <t>Кабель коаксиальный Teleconn RG-58U 50 Ом</t>
  </si>
  <si>
    <t xml:space="preserve">Кабель коаксиальный Teleconn RG-213U 50 Ом </t>
  </si>
  <si>
    <t>Р/ст AnyTone AT-3208Plus 400-480МГц, 5Вт, Li-Ion 1350мАч, зарядное устройство  Гарантия 2 года!</t>
  </si>
  <si>
    <t>Р/ст AnyTone AT-3208Plus 136-174МГц, 5Вт, Li-Ion 1350мАч, зарядное устройство  Гарантия 2 года!</t>
  </si>
  <si>
    <t>2.5 УКВ ретрансляторы</t>
  </si>
  <si>
    <t>AnyTone AT-6200W Репитер 3G покрытие до 500 кв.м.</t>
  </si>
  <si>
    <t>AnyTone AT-6200D Репитер DCS/4G/LTE покрытие до 500 кв.м.</t>
  </si>
  <si>
    <t>Гарнитура для Leixen UV-25HX c DTMF клавиатурой</t>
  </si>
  <si>
    <t>Puxing PX-840s GSM/3G/WIFI рация 3600мАч</t>
  </si>
  <si>
    <t>AnyTone AT-800 Turbo Репитер GSM900 покрытие до 1300 кв.м</t>
  </si>
  <si>
    <t>X-Keeper Invis DUOS - автономный GPS маяк-закладка</t>
  </si>
  <si>
    <t xml:space="preserve">LEMM AT-1000 EAGLE антенна автомобильная 27 МГц (врезная) 1.58 м с кабелем 3,6 м 600 Вт </t>
  </si>
  <si>
    <t>Зарядное устройство (стакан) для Puxing PX-840s</t>
  </si>
  <si>
    <t>Антенна для Puxing PX-840s</t>
  </si>
  <si>
    <t>TH-1400 аккумуляторная батарея Li-ion 1400 мАч для Тушкан</t>
  </si>
  <si>
    <t>Антенна для Тушкан 403-470МГц</t>
  </si>
  <si>
    <t>Зарядное устройство (Адаптер) для Тушкан</t>
  </si>
  <si>
    <t>MiWi SP-500-13.5 импульсный блок питания с PFC, 13.5V 37А гарантия 1 год</t>
  </si>
  <si>
    <t>MiWi SP-320-13.5 импульсный блок питания с PFC 13.5V 23А гарантия 1 год</t>
  </si>
  <si>
    <t>Nextivity Cel-Fi Pro Quad Репитер беспроводной 3G/4G, покрытие до 1235 кв.м, один оператор</t>
  </si>
  <si>
    <t>CB-2351 антенна автомобильная 27 МГц (врезная) 66 см с кабелем 3,6 м 150 Вт</t>
  </si>
  <si>
    <t>ClearCast BU-20 предусилитель 3G 2100 20дБ</t>
  </si>
  <si>
    <t>ClearCast BG-20 предусилитель GSM900 20дБ</t>
  </si>
  <si>
    <t>BC-GU H/L комбайнер 900/2100МГц</t>
  </si>
  <si>
    <t>PA-F78ID Антенна панельная 698-960/1710-2700МГц 6.8/9.4 dBi, N-типа</t>
  </si>
  <si>
    <t>LPA-110 Антенна внешняя логопериодческая, 698-960/1710-2700МГц, 11dBi, N-типа</t>
  </si>
  <si>
    <t>YOSAN JC-2204 р/ст авто, 27МГц 40 каналов EU, АМ, 5 Вт, РАСПРОДАЖА!</t>
  </si>
  <si>
    <t>QB-40L аккумуляторная батарея Li-ion 1350 мАч для AT-518 TURBO/AT-3208Plus</t>
  </si>
  <si>
    <t>Аккумуляторная батарея 1500 мАч для Luiton LT-316</t>
  </si>
  <si>
    <t>Адаптер АС-USB для LUITON LT-316</t>
  </si>
  <si>
    <t>Зарядное устройство (стакан) для LUITON LT-316 (без АС адаптера)</t>
  </si>
  <si>
    <t>AnyTone AT-600Turbo Репитер GSM900 покрытие до 400 кв.м</t>
  </si>
  <si>
    <t>Sirio Performer 5000 LED антенна автомобильная 27МГц (врезная) 2 метра с кабелем 3,6 метра 1500 Вт</t>
  </si>
  <si>
    <t>Р/ст Luiton LT-316, 400-470МГц, 3Вт, Li-Ion 1500мАч, зарядное устройство (продажа только парами!)</t>
  </si>
  <si>
    <t>Sirio GP 365-470 C базовая антенна 365-470МГц 4.65дБ 150Вт</t>
  </si>
  <si>
    <t>Sirio SD-FM 87-194МГц диполь 1/2 волны, 4 dBi, 300Вт</t>
  </si>
  <si>
    <t>QB-35L аккумуляторная батарея li-ion 2200 мАч для AT-298/AT-398UV</t>
  </si>
  <si>
    <t>Гарнитура универсальная FH-003 для Baofeng UV-5R/EM9735/AT628G/AT288/AT289/AT-3308/НУКЕР/PX-359/AT-518P/AT-3318UV/PT-260/TG-1680/LT-316</t>
  </si>
  <si>
    <t>Гарнитура для AnyTone AT-5289</t>
  </si>
  <si>
    <t>DB-1410UHF антенна автомобильная 430-470МГц, 2.15dBi, NMO, 0.17 м 10 Вт без кабеля</t>
  </si>
  <si>
    <t>Кабель 4м NMO UHF</t>
  </si>
  <si>
    <t>MT-1310 Магнитное крепление 77мм NMO + Кабель 4м UHF</t>
  </si>
  <si>
    <t xml:space="preserve">AnyTone AT-310M р/ст авто, 27МГц 240 каналов АМ/ЧМ, 8Вт EU+RU </t>
  </si>
  <si>
    <t>F-22 антенна базовая 144-174МГц, 6.7dBi, 3.2м, 100Вт, UHF-тип</t>
  </si>
  <si>
    <t>BC-100 антенна базовая 134-174МГц, 4.5dBi, 1.7м, 200Вт, UHF-тип</t>
  </si>
  <si>
    <t>BC-200L антенна базовая 370-430МГц, 5.5dBi, 1.7м, 200Вт, N-Тип</t>
  </si>
  <si>
    <t>BC-200 антенна базовая 430-490МГц, 6.5dBi, 1.7м, 200Вт, N-тип</t>
  </si>
  <si>
    <t>SD Super 9 антенна автомобильная 27 МГц (врезная) 1,4 м с кабелем 3,6 м 200 Вт</t>
  </si>
  <si>
    <t>SD T-638 антенна автомобильная 27 МГц (врезная) 1,6 м с кабелем 3,6 м 200 Вт</t>
  </si>
  <si>
    <t>SD NM90-4G антенна на магните, 698-2700МГц, 3dBi, SMA-m</t>
  </si>
  <si>
    <t xml:space="preserve">Р/ст AnyTone AT-D868 DMR/analog, 400-480МГц 5Вт, Li-Ion 2000мАч, зарядное устройство  </t>
  </si>
  <si>
    <t>Триада-935 SOTA GSM-900 на кронштейне, 12.5 dBi, кабель RG-58 A/U 10 м, разъем SMA</t>
  </si>
  <si>
    <t>Триада-2135 SOTA антенна направленная  GSM-1800/3G-2100 ( 12.5-16 dBi, кабель RG-58A/U 10 м, разъем SMA)</t>
  </si>
  <si>
    <t>МТП - 16У  Мачта телескопическая усиленная RadioТехник  высота длина рабочая 14,96 м, вес 30,91 кг Стальные трубы Ø 32, 40, 45, 51, 57, 63, 70 и 76 мм; длина колен 1980 мм, толщина стенок 1,5 мм, такелаж, на плоскую поверхность</t>
  </si>
  <si>
    <t>Аккумуляторная батарея для ST-901 150мАч</t>
  </si>
  <si>
    <t xml:space="preserve">SDY-450 антенна базовая Yagi 6 элементов 450-470МГц 9dBi SMA(F) </t>
  </si>
  <si>
    <t>438V-SD90-142 антенна автомобильная 137-147МГц,  3dBi, 50Вт,  117 см на магните 90 см, кабель 4м UHF</t>
  </si>
  <si>
    <t>438V-SD90-155 антенна автомобильная 150-160МГц,  3dBi, 50Вт,  117 см на магните 90 см, кабель 4м UHF</t>
  </si>
  <si>
    <t>438V-SD90-167 антенна автомобильная 162-172МГц,  3dBi, 50Вт,  117 см на магните 90 см, кабель 4м UHF</t>
  </si>
  <si>
    <t>438U-SD90-415 антенна автомобильная 405-425МГц,  4dBi, 50Вт,  117 см на магните 90 см, кабель 4м UHF</t>
  </si>
  <si>
    <t>438U-SD90-430 антенна автомобильная 420-440МГц,  4dBi, 50Вт,  117 см на магните 90 см, кабель 4м UHF</t>
  </si>
  <si>
    <t>438U-SD90-445 антенна автомобильная 435-455МГц,  4dBi, 50Вт,  117 см на магните 90 см, кабель 4м UHF</t>
  </si>
  <si>
    <t>438U-SD90-460 антенна автомобильная 450-470МГц,  4dBi, 50Вт,  117 см на магните 90 см, кабель 4м UHF</t>
  </si>
  <si>
    <t>Антенна Nitsa-7 /внешняя/ всенаправленная/ LTE800/GSM900/GSM1800/LTE1800/UMTS900/UMTS2100/WIFI/LTE2600/1,5 - 3 Дб / N-female</t>
  </si>
  <si>
    <t>Nitsa-5 - антенна выносная панельная направленная LTE800/GSM900/GSM1800/LTE1800/UMTS2100/LTE2600/8/9-14 dBi/N-female</t>
  </si>
  <si>
    <t>Кабель CPL-03 для прямой зарядки AT-298/AT-398/AT398UV от прикуривателя</t>
  </si>
  <si>
    <t>Гарнитура для радиостанции Luiton LT-298</t>
  </si>
  <si>
    <t>Termit FixPhone V2 rev.3.1.0 стационарный телефон GSM900/1800</t>
  </si>
  <si>
    <t xml:space="preserve">Кабельная сборка 50 Ом N-male/RG-58 2м/SMA-male </t>
  </si>
  <si>
    <t xml:space="preserve">Кабельная сборка 50 Ом N-male/RG-58 5м/SMA-male </t>
  </si>
  <si>
    <t>APS-1210 Блок питания импульсный 13.5V 10A гарантия 1 год</t>
  </si>
  <si>
    <t>RM-SPS1012 Блок питания 13.5V 10/12A гарантия 1 год</t>
  </si>
  <si>
    <t>APS-1220 Блок питания импульсный 13.5V 20A гарантия 1 год</t>
  </si>
  <si>
    <t>RM SPS1030S  Блок питания импульсный регуируемый 9-15V 30A гарантия 1 год</t>
  </si>
  <si>
    <t>RM SPS1050S Блок питания импульсный регулиремый  9-15V 55A гарантия 1 год</t>
  </si>
  <si>
    <t>Nitsa-5 MIMO 2x2 - антенна LTE800/GSM900/GSM1800/LTE1800/UMTS900/UMTS2100/WiFi/LTE2600</t>
  </si>
  <si>
    <t>Кронштейн стеновой для крепления антенн KS-240 (24 см)</t>
  </si>
  <si>
    <t>Кронштейн стеновой для крепления антенн KS-120 (12 см)</t>
  </si>
  <si>
    <t>SD T3-27 антенна автомобильная 27МГц (врезная) 71 см, с кабелем 3,6 м 150 Вт</t>
  </si>
  <si>
    <t>SD ML-145 MAG антенна автомобильная 27 МГц (на магнитном основании) 1,5 м с кабелем 3,6 м 300 Вт</t>
  </si>
  <si>
    <t>SDFB2.5 антенна базовая 144/430 МГц, 8.5/10.5 dBi, 2.5 м, 150 Вт, N-тип</t>
  </si>
  <si>
    <t>SD T3-27 MAG антенна автомобильная 27МГц на магнитном основании 0,71 метра с кабелем,100Вт</t>
  </si>
  <si>
    <t>X-50 антенна базовая 144/430 МГц, 4.5/7.2 dBi, 1.7 м, 200 Вт, UHF-тип</t>
  </si>
  <si>
    <t>Кнопка удаленного управления питанием инверторов серии HP 600-3000Вт</t>
  </si>
  <si>
    <t>Аккумуляторная батарея Li-Ion 2800 мАч для Luiton LT-199H</t>
  </si>
  <si>
    <t>Антенна для Luiton LT-199H 400-480МГц</t>
  </si>
  <si>
    <t>Зарядное устройство (стакан) для LT-199H</t>
  </si>
  <si>
    <t>QB-43L аккумуляторная батарея Li-ion 1300 мАч для AT-318, AT-318P, AT-318UV</t>
  </si>
  <si>
    <t>QB-1500L аккумуляторная батарея Li-ion 1500 мАч для AT-288/289/289Р/3318</t>
  </si>
  <si>
    <t>Гарнитура EAR-800 с выносной кнопкой для Puxing PX-800s/820s/840s</t>
  </si>
  <si>
    <t>PB-80L Аккумуляторная батарея Li-Ion 3600 мАч для Puxing PX-800s/820s/840s</t>
  </si>
  <si>
    <t>Коннектор BNC (M) для кабеля RG58 под обжим</t>
  </si>
  <si>
    <t>Коннектор TNC (M) для кабеля RG58 под обжим</t>
  </si>
  <si>
    <t>Коннектор BNC (M) для кабеля RG58 под пайку</t>
  </si>
  <si>
    <t>Коннектор BNC (M) для кабеля  RG213, RG214, LMR400, RG8 под пайку</t>
  </si>
  <si>
    <t>Коннектор TNC (M) для кабеля  RG213, RG214, LMR400, RG8 под пайку</t>
  </si>
  <si>
    <t xml:space="preserve">Чехол для рации универсальный </t>
  </si>
  <si>
    <t>SD-XD3 антенна внутренняя 698-2700MHz  3.5dBi  N (F)</t>
  </si>
  <si>
    <t>SD-BA27 антенна базовая 26-28МГц, 5/8, 5.4м, 3.5dBi   UHF (F)</t>
  </si>
  <si>
    <t>SD-MRF120C-UF базовая антенна 420-470MHz  4dBi N (F)</t>
  </si>
  <si>
    <t>SDN-1 NMO автомобильная антенна 136-520MHz  2.5dBi на магнитном основании  90 см</t>
  </si>
  <si>
    <t>M150-SD90 антенна автомобильная 136-166МГц/408-470МГц 2dBi 100Вт на магните 90 см, кабель 4м UHF</t>
  </si>
  <si>
    <t>DB-86D антенна автомобильная 138-470МГц, 2.15dBi, 0,47м, кабель RG174A, разъем SMA-F, на магните</t>
  </si>
  <si>
    <t>SG-507 автомобильная антенна 144/430MHz 2.15/5dBi UHF (только излучатель)</t>
  </si>
  <si>
    <t>03. Подавители связи</t>
  </si>
  <si>
    <t>04. Антенны.</t>
  </si>
  <si>
    <t>4.1. Антенны автомобильные диапазона 27 МГц</t>
  </si>
  <si>
    <t>4.2. Антенны автомобильные диапазона УКВ</t>
  </si>
  <si>
    <t>4.3. Антенны базовые диапазона 27 МГц.</t>
  </si>
  <si>
    <t>4.4. Антенны базовые УКВ диапазона</t>
  </si>
  <si>
    <t>4.7. Антенны прочие и комплектующие для антенн</t>
  </si>
  <si>
    <t>4.8. Кабельные сборки</t>
  </si>
  <si>
    <t>05. GSM, 3G, CDMA-репитеры, телефоны, шлюзы, рации</t>
  </si>
  <si>
    <t>5.1. Репитеры, усилители сотового сигнала</t>
  </si>
  <si>
    <t>5.3. GSM интернет-рации</t>
  </si>
  <si>
    <t>5.4. GSM-маяки</t>
  </si>
  <si>
    <t>06. Мачты и кронштейны</t>
  </si>
  <si>
    <t>6.1. Стальные телескопические мачты</t>
  </si>
  <si>
    <t>6.2. Алюминиевые мачты</t>
  </si>
  <si>
    <t>6.3. Кронштейны</t>
  </si>
  <si>
    <t>07. Аксессуары</t>
  </si>
  <si>
    <t>7.1. Гарнитуры, микрофоны</t>
  </si>
  <si>
    <t>7.2. Аккумуляторы</t>
  </si>
  <si>
    <t>7.3. Антенные согласователи-усилители</t>
  </si>
  <si>
    <t>7.4. Источники питания</t>
  </si>
  <si>
    <t>7.5. Преобразователи напряжения 24/12V</t>
  </si>
  <si>
    <t>7.6. Инверторы 12-220Вольт</t>
  </si>
  <si>
    <t>7.7. Громкоговорители внешние</t>
  </si>
  <si>
    <t>7.8. Скобы для крепления антенн</t>
  </si>
  <si>
    <t>7.9. Зарядные устройства</t>
  </si>
  <si>
    <t>7.10. Зарядные устройства для автомобильных аккумуляторов</t>
  </si>
  <si>
    <t>7.11. Кабель коаксиальный</t>
  </si>
  <si>
    <t>7.12. Программаторы</t>
  </si>
  <si>
    <t>7.14. Прочие</t>
  </si>
  <si>
    <t>7.13. Измерительные приборы (КСВ метры, измерители мощности, частотомеры, анализаторы)</t>
  </si>
  <si>
    <t>Монтажный набор для крепления СВ рации в 1DIN слот  (для Luiton LT-298, LT-308)</t>
  </si>
  <si>
    <t>2.6 УКВ дуплексеры</t>
  </si>
  <si>
    <t>Дуплексер SGQ-150D 136-174МГц, 50Вт, разнос 3.8-15МГц</t>
  </si>
  <si>
    <t>Дуплексер SGQ-450 400-480МГц, 30Вт, разнос 5-20МГц</t>
  </si>
  <si>
    <t>Дуплексер SGQ-450D 400-480МГц, 50Вт, разнос 5-20МГц</t>
  </si>
  <si>
    <t>Эквивалент нагрузки DL-30A  0-500МГц 15Вт/100Вт</t>
  </si>
  <si>
    <t>QB-44L аккумуляторная батарея Li-Ion 2100 мАч для AT-D858/868/868UV</t>
  </si>
  <si>
    <t>Монтажный набор для крепления СВ рации в 1DIN слот (для President Barry ASC)</t>
  </si>
  <si>
    <t>President Barry ASC р/ст авто, 27МГц, 4 Вт, АМ/ЧМ, 24/12V</t>
  </si>
  <si>
    <t>Монтажный набор для крепления СВ рации в 1DIN слот (для Yosan CB-50)</t>
  </si>
  <si>
    <t>4.5. Антенны WIFI, GSM, 3G, 4G, LTE и аксессуары</t>
  </si>
  <si>
    <t>4.6. Сплиттеры, комбайнеры, ответвители</t>
  </si>
  <si>
    <t>AX-2411R Антенна  WiFi  круговая  Antex, 11Дб, N-female</t>
  </si>
  <si>
    <t>ZETA MIMO 2x2/LTE1800/3G/WIFI антенна ANTEX направленная, панельная/17-20Дб/2*N-female</t>
  </si>
  <si>
    <t>MONA UNIBOX PRO - антенна MIMO с боксом для 3G/4G модема LTE800/GSM900/GSM1800/LTE1800/UMTS900/UMTS2100/WiFi, с USB кабелем 10 метров</t>
  </si>
  <si>
    <t>Монтажный набор для крепления СВ рации в 1DIN слот (для Yosan CB-50, 2204Turbo, AnyTone AT-310)</t>
  </si>
  <si>
    <t>Групповое зарядное устройство на 6 аккумуляторов для Luiton LT-316</t>
  </si>
  <si>
    <t>.</t>
  </si>
  <si>
    <t>ABELL R-50 (U) УКВ ретранслятор цифровой DMR 400-470МГц 25Вт, 1 канал, 1 частота!</t>
  </si>
  <si>
    <t>F-23 антенна базовая 144-174МГц, 7.8dBi, 4.6м, 200Вт, UHF-тип</t>
  </si>
  <si>
    <t>Антенна удлиненная универсальная 38 см 3.5dBi 400-470МГц SMA-M</t>
  </si>
  <si>
    <t>Антенна удлиненная универсальная 38 см 3.5dBi 144/430МГц SMA-M</t>
  </si>
  <si>
    <t>Р/ст Baofeng DM-V1 400-470МГц, DMR/analog, Tier I&amp;II, 200 каналов, 2 Вт, Li-Ion 2000мАч, з/у, гарнитура, гарантия 6 мес</t>
  </si>
  <si>
    <t>Р/ст Baofeng UV-82 136-174/400-520МГц, 5Вт, Li-Ion 2800мАч, зарядное устройство, гарантия 1 месяц</t>
  </si>
  <si>
    <t>Р/ст Baofeng UV-5R 136-174/400-480МГц, 5Вт, Li-Ion 1800мАч, зарядное устройство, гарантия 1 месяц</t>
  </si>
  <si>
    <t>Р/ст Luiton LT-316, 400-470МГц, 3Вт, Li-Ion 1500мАч, зарядное устройство, гарантия 1 год</t>
  </si>
  <si>
    <t>Р/ст Baofeng DM-1801 Tier I&amp;II, 136-174/400-470МГц, 5Вт, Li-Ion 2200мАч, зарядное устройство, гарнитура, гарантия 6 месяцев</t>
  </si>
  <si>
    <t>Р/ст Baofeng DM-1701 Tier I&amp;II, 136-174/400-470МГц, 5Вт, Li-Ion 2200мАч, зарядное устройство, гарнитура, гарантия 6 месяцев</t>
  </si>
  <si>
    <t>2.2. Радиостанции портативные цифровые/аналоговые</t>
  </si>
  <si>
    <t>2.1. Радиостанции портативные аналоговые</t>
  </si>
  <si>
    <t>Р/ст Luiton LT-316 (комплект 2 штуки), 400-470МГц, 3Вт, Li-Ion 1500мАч, з/у, гарантия 1 год</t>
  </si>
  <si>
    <t>Р/ст AnyTone AT-628G Optim 400-480МГц, 3Вт, Li-Ion 1500мАч, зарядное устройство, гарантия 1 год</t>
  </si>
  <si>
    <t>Р/ст Baofeng DM-5R Tier I&amp;II, 136-174/400-480МГц, 5Вт, Li-Ion 2000мАч, з/у, гарантия 6 месяцев</t>
  </si>
  <si>
    <t>DM-V1 Аккумуляторная батарея Li-Ion 3.7V 2000 мАч для Baofeng DM-V1</t>
  </si>
  <si>
    <t xml:space="preserve">Кабельная сборка 50 Ом N-male/RG-58 7м/SMA-male </t>
  </si>
  <si>
    <t>AX-1800 OFFSET MIMO 2x2 офсетный облучатель 4G (LTE1800)</t>
  </si>
  <si>
    <t>AX-1800 OFFSET 75 MIMO 2x2 офсетный облучатель 4G (LTE1800)</t>
  </si>
  <si>
    <t>5.2. Стационарные телефоны, GSM-шлюзы, 3G/4G роутеры</t>
  </si>
  <si>
    <t>Sirio Fighter P-5000 антенна автомобильная 27 МГц (врезная) 2,0 м с кабелем 3,6 м 5000 Вт белая</t>
  </si>
  <si>
    <t>Sirio Performer P-2000 антенна автомобильная 27МГц (врезная) 2 метра с кабелем 3,6 метра 2000 Вт</t>
  </si>
  <si>
    <t>Коннектор N(M) типа для кабеля RG58 под пайку</t>
  </si>
  <si>
    <t>Коннектор N(M) типа для кабеля RG58 под обжим</t>
  </si>
  <si>
    <t>Коннектор SMA(F) типа для кабеля RG58 под обжим</t>
  </si>
  <si>
    <t>Коннектор SMA(M) типа для кабеля RG58 под обжим</t>
  </si>
  <si>
    <t>Коннектор FME(F) типа для кабеля RG58 под обжим</t>
  </si>
  <si>
    <t>AX-1817Y Направленная антенна типа Yagi GSM-1800 LTE 1800, 17dBi, N-female</t>
  </si>
  <si>
    <t xml:space="preserve">4G-CPE-ANT Антенна внутренняя 698-960/1710-2700MHz  3.5dBi  SMA(m) </t>
  </si>
  <si>
    <t>Р/ст Luiton LT-590 400-490МГц, 200 каналов, 45/25/10 Вт  Гарантия 6 месяцев!</t>
  </si>
  <si>
    <t>Гарнитура для Luiton LT-590 c DTMF клавиатурой</t>
  </si>
  <si>
    <t>Гарнитура для AnyTone AT-5189/AT-588 c DTMF клавиатурой</t>
  </si>
  <si>
    <t>AX-Offset D60 рефлектор сетчатый офсетный 60см LTE800/GSM900/LTE1800/LTE2100/UMTS2100/LTE2600/5G</t>
  </si>
  <si>
    <t>Nitsa-1 антенна внутренняя 790-2700MHz  3dBi  N (F)</t>
  </si>
  <si>
    <t>KB-W65B Аккумулятор 5200мАч  для р/с Kirisun T60/T65</t>
  </si>
  <si>
    <t>AX-410Y  антенна базовая направленная 430-470МГЦ 10.5dBi N(f)</t>
  </si>
  <si>
    <t>ES-606 внешний громкоговоритель 10Вт 8Ом, увеличенный динамик, функция шумоподавления, кабель 1,8м</t>
  </si>
  <si>
    <t>ES-608 внешний громкоговоритель 10Вт 8Ом, увеличенный динамик, кабель 1,8м</t>
  </si>
  <si>
    <t>Антенна укороченная 400-470МГц для StarNet S-200</t>
  </si>
  <si>
    <t>Р/ст StarNet S-200 400-470МГц 5Вт, Li-Ion 2000мАч, зарядное устройство, гарантия 6 месяцев</t>
  </si>
  <si>
    <t>Переходник SMA-F/N-M</t>
  </si>
  <si>
    <t>Фильтр полосовой LBQ-450 400-500МГц, 50Вт, -50дБ</t>
  </si>
  <si>
    <t>Фильтр полосовой LBQ-150 136-174МГц, 50Вт, -35дБ</t>
  </si>
  <si>
    <t>Magnita-1 антенна на магните 7dBi 698-960/1710-2700МГц, SMA-male</t>
  </si>
  <si>
    <t>LUITON LT-298 р/ст авто, 27МГц, 240 каналов AM/FM, 10 Вт, EU+RU, 12/24V гарантия 6 месяцев</t>
  </si>
  <si>
    <t>Luiton LT-308 р/ст авто, 27МГц, 240 каналов, AM/FM, 10 Вт, EU+RU, 12/24V гарантия 6 месяцев</t>
  </si>
  <si>
    <t>Intek H-520Plus радиостанция носимая 27МГц 400+400 каналов EU+RU с автоадаптером  гарантия 12 мес</t>
  </si>
  <si>
    <t>Р/ст Puxing PX-2R  400-470МГц, 2Вт, Li-Ion, 1100мАч, зарядное устройство, гарнитура, гарантия 1 мес</t>
  </si>
  <si>
    <t>Р/ст AnyTone AT-3218G, 400-480МГц, 3Вт, Li-Ion 1500мАч, зарядное устройство, гарнитура  гарантия 1 год</t>
  </si>
  <si>
    <t>YOSAN CB-50 р/ст авто, 27МГц 200 каналов, АМ/ЧМ 8 Вт EU+ RU гарантия 1 год</t>
  </si>
  <si>
    <t>AnyTone AT-310M PLUS р/ст авто, 27МГц, 240 каналов, АМ.ЧМ, 8 Вт, EU+RU, 12/24V, CTCSS/DCS, VOX гарантия 1 год</t>
  </si>
  <si>
    <t>AnyTone AT-500M р/ст авто, 27МГц, 480 каналов АМ/ЧМ, 8 Вт, EU+RU, 12/24V, CTCSS/DCS, VOX, Roger Beep гарантия 1 год</t>
  </si>
  <si>
    <t>YOSAN JC-2204 Turbo р/ст авто, 27МГц 240+240 каналов, АМ/ЧМ9 Вт EU+ RUгарантия 1 год</t>
  </si>
  <si>
    <t>AnyTone AT-608M р/ст авто, 27МГц 240+240 каналов, 8Вт, АМ/ЧМ, CTCSS/DCS, EU+RU гарантия 1 год</t>
  </si>
  <si>
    <t>President Teddy II р/ст авто, 27МГц, 4Вт, АМ/ЧМ, EU+RU гарантия 1 год</t>
  </si>
  <si>
    <t>AnyTone Apollo I р/ст авто, 27МГц АМ/ЧМ управление с микрофона  гарантия 1 год</t>
  </si>
  <si>
    <t>LAFAYETTE TRUCKER PRO р/ст авто, 27МГц 1350 каналов АМ/ЧМ 8 Вт EU+ RU 1 DIN CTCSS 38 кодов  гарантия 1 год</t>
  </si>
  <si>
    <t>AnyTone Apollo II р/ст авто, 27МГц АМ/ЧМ  EU+RU CTCSS/DCS 8 Вт гарантия 1 год</t>
  </si>
  <si>
    <t>President Bill ASQ р/ст авто, 27МГц, 4 Вт, АМ/ЧМ  гарантия 1 год</t>
  </si>
  <si>
    <t>President Barry ASC II р/ст авто, 27МГц, 4 Вт, АМ/ЧМ, 24/12V  гарантия 1 год</t>
  </si>
  <si>
    <t>AnyTone AT-5289N р/ст авто, 27МГц 4/10/50Вт 25-30МГц EU+RU, CTCSS/DCS  гарантия 1 год</t>
  </si>
  <si>
    <t>AnyTone AT-5555 р/ст авто, 25.615...30.105 МГц, AM/FM/SSB, 12 Вт AM, 50 Вт FM  гарантия 1 год</t>
  </si>
  <si>
    <t>AnyTone AT-6666 р/ст авто, 25.615...30.105 МГц, AM/FM/SSB, 12 Вт AM, 50 Вт FM гарантия 1 год</t>
  </si>
  <si>
    <t>AnyTone AT-5555N р/ст авто, 25.615...30.105 МГц, AM/FM/SSB, 12 Вт AM, 30 Вт FM, CTCSS/DCS  гарантия 1 год</t>
  </si>
  <si>
    <t>Р/ст Kirisun PT-260 400-470МГц, 5Вт, Li-Ion 1200мАч, зарядное устройство гарантия 1 год</t>
  </si>
  <si>
    <t>Р/ст Climbmax EM-9735 136-174МГц 5Вт, Li-Ion 1500мАч, зарядное устройство, гарантия 1 год</t>
  </si>
  <si>
    <t>Р/ст Quansheng TG-1680, 400-480МГц, 8Вт, Li-Pol 3500мАч, зарядное устройство. гарантия 1 год</t>
  </si>
  <si>
    <t>Р/ст Quansheng TG-1680, 136-174МГц, 8Вт, Li-Pol 3500мАч, зарядное устройство, гарантия 1 год</t>
  </si>
  <si>
    <t>Р/ст Luiton LT-199H, 400-480МГц, 12Вт, Li-Ion 2800мАч, зарядное устройство, гарантия 1 год</t>
  </si>
  <si>
    <t>Р/ст AnyTone AT-D868UV DMR/analog, 136-174/400-480МГц 7Вт, Li-Ion 3100мАч, GPS, зарядное устройство, гарантия 1 год</t>
  </si>
  <si>
    <t>Р/ст Leixen UV-25HX 134-176/400-480МГц, 199 каналов, 5/10/25 Вт , гарантия 6 месяцев</t>
  </si>
  <si>
    <t>Р/ст AnyTone AT-778V 134-176МГц, 250 каналов, 25/10/5 Вт, гарантия 1 год</t>
  </si>
  <si>
    <t>Р/ст AnyTone AT-778U 400-490МГц, 250 каналов, 25/10/5 Вт, гарантия 1 год</t>
  </si>
  <si>
    <t>Р/ст AnyTone AT-888 134-176МГц, 200 каналов, 60/25/10 Вт, гарантия 1 год</t>
  </si>
  <si>
    <t>Р/ст AnyTone AT-888 400-490МГц, 200 каналов, 45/25/10 Вт , гарантия 1 год</t>
  </si>
  <si>
    <t>JYT-160 Подавитель сотовой связи портативный, 1.5 Ватт, дальность до 10 метров, подавление  GSM, 2G, 3G, 4G LTE, WIFI, Bluetooth, гарантия 1 год</t>
  </si>
  <si>
    <t>JYT-670 Подавитель сотовой связи стационарный, 15 Ватт, 6 антенн, дальность до 40 метров, подавление  GSM, 3G, 4G,  Wi-Fi, Bluetooth, гарантия 1 год</t>
  </si>
  <si>
    <t>JYT-870 Подавитель сотовой связи стационарный, 20 Ватт, 8 антенн, дальность до 40 метров, подавление  GSM, 3G, 4G,  Wi-Fi, Bluetooth, GPS, гарантия 1 год</t>
  </si>
  <si>
    <t>JYT-CVU770 Подавитель сотовой связи стационарный, 20 Ватт, 8 антенн, дальность до 70 метров, подавление  GSM, 3G, 4G, VHF, UHF, Wi-Fi 2.4G, GPS, Bluetooth, гарантия 1 год</t>
  </si>
  <si>
    <t>JYT-1260 Подавитель сотовой связи портативный, 10 Ватт, дальность до 20 метров, 12 антенн, подавление GPS, GSM, 2G, 3G, 4G LTE, WIFI, 315, 433, 868, Bluetooth, гарантия 1 год</t>
  </si>
  <si>
    <t>JYT-1600 Подавитель сотовой связи стационарный, 48 Ватт, 16 антенн, дальность до 70 метров, подавление  GSM, 3G, 4G, VHF, UHF, Wi-Fi 2.4G, GPS, L1, L2, L3, L4, L5 LOJACK, 315, 433, 868, Bluetooth, гарантия 1 год</t>
  </si>
  <si>
    <t>JYT-1800 Подавитель сотовой связи стационарный, 48 Ватт, 18 антенн, дальность до 60 метров, подавление  GSM, 3G, 4G, 5G, VHF, UHF, Wi-Fi 2.4G, Wi-Fi 5.2G, GPS, L1, L2, L5, LOJACK,  5.8G, 315, 433, 868, Bluetooth, дистанционное управление, гарантия 1 год</t>
  </si>
  <si>
    <t>AnyTone AT-7188 (U) УКВ ретранслятор аналоговый  400-480МГц, 25/35Вт, гарантия 1 год</t>
  </si>
  <si>
    <t>AnyTone AT-7188 (V) УКВ ретранслятор аналоговый 136-174МГц, 25/35Вт, гарантия 1 год</t>
  </si>
  <si>
    <t>ABELL R-80 (U) УКВ ретранслятор цифро-аналоговый  400-470МГц 25/50Вт, гарантия 1 год</t>
  </si>
  <si>
    <t>Termit FixPhone V2 rev.4 стационарный телефон GSM900/1800, гарантия 1 год</t>
  </si>
  <si>
    <t>StarNet 4G-CPE 3G/4G Wi-Fi роутер, гарантия 1 год</t>
  </si>
  <si>
    <t>Termit pbxGate GSM V2 GSM-шлюз GSM900/1800, гарантия 1 год</t>
  </si>
  <si>
    <t>Termit FixPhone LTE LiTE стационарный GSM телефон с WiFi роутером, гарантия 1 год</t>
  </si>
  <si>
    <t>SinoTrack ST-901 GPS-трекер скрытой установки, гарантия 1 месяц</t>
  </si>
  <si>
    <t>SinoTrack ST-902 GPS-трекер (OBDII интерфейс), гарантия 1 месяц</t>
  </si>
  <si>
    <t>SinoTrack ST-907 GPS-трекер (реле) скрытой установки, гарантия 1 месяц</t>
  </si>
  <si>
    <t>SinoTrack ST-909 GPS-трекер (зарядное устройство 2xUSB 5V 2A, в прикуриватель), гарантия 1 месяц</t>
  </si>
  <si>
    <t>SinoTrack ST-915 GPS-трекер автономный на магните, гарантия 1 месяц</t>
  </si>
  <si>
    <t>RM RT5 Преобразователь напряжения 24/12В 5A Италия, гарантия 1 год</t>
  </si>
  <si>
    <t>RM RT10 Преобразователь напряжения 24В/12В 10A Италия, гарантия 1 год</t>
  </si>
  <si>
    <t>DC-15 Преобразователь напряжения 24/12В 15А Тайвань, гарантия 1 год</t>
  </si>
  <si>
    <t>RM RT16 Преобразователь напряжения 24V/12V 16A Италия, гарантия 1 год</t>
  </si>
  <si>
    <t>DC-20 Преобразователь напряжения 24/12В 20А Тайвань, гарантия 1 год</t>
  </si>
  <si>
    <t>DC-30 Преобразователь напряжения 24/12В 30А Тайвань, гарантия 1 год</t>
  </si>
  <si>
    <t>DC-40 Преобразователь напряжения 24/12В 40А Тайвань, гарантия 1 год</t>
  </si>
  <si>
    <t>RM-RT30SW Преобразователь напряжения 24/12В 35А Италия, гарантия 1 год</t>
  </si>
  <si>
    <t>RM RTG25/48 Преобразователь напряжения 48V/12V 25А Италия, гарантия 1 год</t>
  </si>
  <si>
    <t>Инвертор HP-150USB 12-220 Вольт 150 (450) Ватт, гарантия 1 год</t>
  </si>
  <si>
    <t>Инвертор HP-300USB 12-220 Вольт 300 (900) Ватт, гарантия 1 год</t>
  </si>
  <si>
    <t>Инвертор HP-300USB 24-220 Вольт 300 (900) Ватт, гарантия 1 год</t>
  </si>
  <si>
    <t>Инвертор HP-600 12-220 Вольт 600 (1500) Ватт, гарантия 1 год</t>
  </si>
  <si>
    <t>Инвертор HP-600 24-220 Вольт 600 (1500) Ватт, гарантия 1 год</t>
  </si>
  <si>
    <t>Инвертор HP-1200 12-220 Вольт 1200 (2600) Ватт, гарантия 1 год</t>
  </si>
  <si>
    <t>Инвертор HP-2500 12-220 Вольт 2500 (5000) Ватт, гарантия 1 год</t>
  </si>
  <si>
    <t>Инвертор HP-2500 24-220 Вольт 2500 (5000) Ватт, гарантия 1 год</t>
  </si>
  <si>
    <t>Инвертор HP-3000 12-220 Вольт 3000 (6000) Ватт, гарантия 1 год</t>
  </si>
  <si>
    <t>Инвертор HP-3000 24-220 Вольт 3000 (6000) Ватт, гарантия 1 год</t>
  </si>
  <si>
    <t>Зарядное устройство ABC-1210D 12 Вольт 10 Ампер, автоматическое, до 100Ач, гарантия 1 год</t>
  </si>
  <si>
    <t>Зарядное устройство ABC-1220D 12 Вольт 20 Ампер, автоматическое, до 200Ач, гарантия 1 год</t>
  </si>
  <si>
    <t>LEIXEN N8 частотомер портативный 1-1000МГц, гарантия 1 месяц</t>
  </si>
  <si>
    <t>NISSEI RS-40 измеритель КСВ и мощности 140-150/430-450МГц  15/60/200Вт, гарантия 1 год</t>
  </si>
  <si>
    <t>NISSEI RS-27 измеритель КСВ и мощности 26-30МГц 10/100/1000Вт, гарантия 1 год</t>
  </si>
  <si>
    <t>NISSEI RX-103 измеритель КСВ и мощности 1.6-60МГц 20/200/2000Вт, гарантия 1 год</t>
  </si>
  <si>
    <t>NISSEI RX-203 измеритель КСВ и мощности 1.8-200МГц 2/20/200Вт, гарантия 1 год</t>
  </si>
  <si>
    <t>NISSEI RX-403 измеритель КСВ и мощности 125-525МГц 2/20/200Вт, гарантия 1 год</t>
  </si>
  <si>
    <t>NISSEI RX-503 измеритель КСВ и мощности 1.8-525МГц 2/20/200Вт, гарантия 1 год</t>
  </si>
  <si>
    <t>NISSEI DG-503 измеритель КСВ и мощности цифровой 1.8-525МГц 2/20/200Вт, гарантия 1 год</t>
  </si>
  <si>
    <t>NISSEI NS-60A антенный анализатор 0.5-60МГц, гарантия 1 год</t>
  </si>
  <si>
    <t>NISSEI NS-520A антенный анализатор 133-177/195-280/395-520МГц, гарантия 1 год</t>
  </si>
  <si>
    <t>RigExpert AA-30.ZERO антенный анализатор 0.06-30МГц, гарантия 1 год</t>
  </si>
  <si>
    <t>RigExpert AA-35 ZOOM антенный анализатор 0.06-35МГц, гарантия 1 год</t>
  </si>
  <si>
    <t>RigExpert AA-55 ZOOM антенный анализатор 0.06-55МГц, гарантия 1 год</t>
  </si>
  <si>
    <t>RigExpert AA-230 ZOOM антенный анализатор 0.1-230МГц, гарантия 1 год</t>
  </si>
  <si>
    <t>RigExpert AA-600 антенный анализатор 0.1-600МГц, гарантия 1 год</t>
  </si>
  <si>
    <t>Кабель питания зарядного устройства от прикуривателя 12/24V - 8.4V для р/с Baofeng</t>
  </si>
  <si>
    <t>Р/ст AnyTone AT-D878UV DMR/analog, 136-174/400-480МГц 7Вт, Li-Ion 3100мАч, GPS, зарядное устройство, гарантия 1 год</t>
  </si>
  <si>
    <t>Р/ст AnyTone AT-588  400-490МГц, 200 каналов, 45/25/10 Вт  Гарантия 12 месяцев!</t>
  </si>
  <si>
    <t>HYTERA HR1065 ретранслятор 136-174МГц, 50Вт, 100% цикл, DMR Tier II/Analogue гарантия 1 год</t>
  </si>
  <si>
    <t>Штырь 1.8х3х1000 мм</t>
  </si>
  <si>
    <t>Штырь 1.8х3х1100 мм</t>
  </si>
  <si>
    <t>Штырь 1.8х3х1200 мм</t>
  </si>
  <si>
    <t>Штырь 1.8х3х1500 мм</t>
  </si>
  <si>
    <t>Штырь 1.8х3х1400 мм</t>
  </si>
  <si>
    <t>Р/ст StarNet S-400 400-480МГц 10Вт, Li-Ion 2800мАч, IP66, Зарядное устройство, гарантия 1 год</t>
  </si>
  <si>
    <t>Антенна для StarNet S-400 400-480МГц</t>
  </si>
  <si>
    <t>BC-S400 Аккумуляторная батарея 7.4В 2800мАч для StarNet S-400</t>
  </si>
  <si>
    <t>BC-S200 Аккумуляторная батарея 7.4В 2000мАч для StarNet S-200</t>
  </si>
  <si>
    <t>Гарнитура универсальная ER01 с выносной кнопкой для радиостанций StarNet S-400</t>
  </si>
  <si>
    <t>Гарнитура скрытого ношения ER03 для радиостанции StarNet S-400</t>
  </si>
  <si>
    <t>SD D-130 антенна базовая дискоконусная 25-1300МГц 200Вт</t>
  </si>
  <si>
    <t>Р/ст Quesum MD-100 Tier I&amp;II, 400-470МГц, 5Вт, li-Ion 2600мАч, з/у, гарантия 12 месяцев</t>
  </si>
  <si>
    <t>Р/ст Quesum MD-10 Tier I&amp;II, 400-470МГц, LED, 5Вт, li-Ion 2600мАч, з/у, гарантия 12 месяцев</t>
  </si>
  <si>
    <t>Quesum R-8900 (U) УКВ ретранслятор  400-470МГц 30Вт, DMR Tier II/Analogue, гарантия 1 год</t>
  </si>
  <si>
    <t>Антенна для Quesum MD-10/MD-100</t>
  </si>
  <si>
    <t>Аккумуляторная батарея Li-Ion 2600 мАч для Quesum MD10/MD100</t>
  </si>
  <si>
    <t>Гарнитура M4 с выносной кнопкой для р/с Quesum MD10/MD100</t>
  </si>
  <si>
    <t>RigExpert Stick Pro антенный анализатор 0.1-600МГц, гарантия 1 год</t>
  </si>
  <si>
    <t>Комнатная 3G/4G антенна РЭМО BAS-2013 MiMo Indoor 6-7/10-12 дБ  690-900 / 1700-3600 МГц</t>
  </si>
  <si>
    <t>Антенна PETRA Broad Band 75  MIMO 2x2 (3G + 4G MIMO) ,направленная, тип-панельная/14Дб,2*F-female</t>
  </si>
  <si>
    <t>Антенна AGATA-2F MIMO 2x2 (3G MIMO + 4G MIMO 2х2) , направленная, тип-панельная/17Дб/2*F-female</t>
  </si>
  <si>
    <t>UMO-3F MIMO 2*2 - облучатель LTE1800/3G/LTE2600 MIMO 2x2/75 Ом/2*F-female</t>
  </si>
  <si>
    <t>Антенна ZETA-F MIMO 2x2/LTE1800/3G/LTE2600/ направленная, тип-панельная/17-20Дб/2*F-female</t>
  </si>
  <si>
    <t>Nitsa-5F MIMO/ антенна выносная панельная направленная LTE800/GSM900/GSM1800/UMTS2100/DC-HSPA/LTE2600/2*(9-14) dBi/2*F-female</t>
  </si>
  <si>
    <t>Антенна CIFRA-9 /9дБ/ДМВ/DVB-T/DVB-T2/470-750м МГц</t>
  </si>
  <si>
    <t>Антенна CIFRA-4 /4дБ/ ДМВ/DVB-T/DVB-T2/470-870 МГц</t>
  </si>
  <si>
    <t>Антенна VIKA-21F MIMO 2x2/ LTE1800/3G/LTE2600/ направленная, тип-параболическая, прямофокусная/18-21Дб/2*F-female</t>
  </si>
  <si>
    <t>Антенна VIKA-27 F MIMO 2x2/ LTE1800/3G/LTE2600/ направленная, тип-параболическая, прямофокусная/23-27 Дб/ 2*F-female</t>
  </si>
  <si>
    <t>Антенна VIKA-1.1-800/2700F MIMO2*2/ LTE800/ LTE1800/ 3G/ LTE2600/ направленная/
тип-параболическая, прямофокусная/ 15-26Дб/ 2*F-female</t>
  </si>
  <si>
    <t>Переходник SMA-M/F-F SF-312 (SMA-male - F-female), прямой для кабеля RG-6U</t>
  </si>
  <si>
    <t>PETRA Broad Band 75 антенна 2G/3G/4G/WIFI, направленная, тип-панельная/12.5-15.5 dB, F-female</t>
  </si>
  <si>
    <t>AnyTone R780 (U) УКВ ретрансялтор DMR+analog 400-470МГц 50Вт гарантия 1 год</t>
  </si>
  <si>
    <t>AnyTone R780 (V) УКВ ретранслятор DMR+analog 136-174МГц 50Вт гарантия 1 год</t>
  </si>
  <si>
    <t xml:space="preserve">CB-2308 антенна автомобильная 27 МГц (универсальная)  1,5 м  500 Вт без кабеля </t>
  </si>
  <si>
    <t>С-129 Hawaii антенна автомобильная 27МГц (врезная) 72 см с кабелем 4м 150Вт</t>
  </si>
  <si>
    <t>Р/ст StarNet S-400V 136-174МГц 10Вт, Li-Ion 2800мАч, IP66, Зарядное устройство, гарантия 1 год</t>
  </si>
  <si>
    <t>Наружная 3G/4G/5G антенна РЭМО BAS-2346 Flat MIMO кабель 2х5м SMA-M</t>
  </si>
  <si>
    <t xml:space="preserve">StarNet 4G-2346 Комплект для 3G/4G интернета (StarNet 4G-CPE + BAS-2346) </t>
  </si>
  <si>
    <t>StarNet 4G-2013 Комплект для 3G/4G интернета (StarNet 4G-CPE + BAS-2013)</t>
  </si>
  <si>
    <t>AX-Offset D90 рефлектор сетчатый офсетный 90см LTE800/GSM900/LTE1800/LTE2100/UMTS2100/LTE2600/5G</t>
  </si>
  <si>
    <t>President Bill II ASQ р/ст авто, 27МГц, 4 Вт, АМ/ЧМ, VOX  гарантия 1 год</t>
  </si>
  <si>
    <t>QB-44HL аккумуляторная батарея Li-Ion 3100 мАч для AT-D858/868/878UV</t>
  </si>
  <si>
    <t>RigExpert AA-3000 ZOOM антенный анализатор 0.1-3000МГц, гарантия 1 год</t>
  </si>
  <si>
    <t>RigExpert AA-2000 ZOOM антенный анализатор 0.1-2000МГц, гарантия 1 год</t>
  </si>
  <si>
    <t>Rigexpert AA-1500 ZOOM антенный анализатор 0.1-1500МГц, гарантия 1 год</t>
  </si>
  <si>
    <t>Rigexpert AA-650 ZOOM антенный анализатор 0.1-650МГц, гарантия 1 год</t>
  </si>
  <si>
    <t>SD YV5B антенна базовая Yagi 5 элементов 149-161МГц 9dBi 100Вт</t>
  </si>
  <si>
    <t>BPK-5 Аккумуляторная батарея 7.2В 1600мАч для Quansheng UV-K5, UV-K5(8), UV-6</t>
  </si>
  <si>
    <t>Р/ст Quansheng UV-K5 136-174/400-480МГц, 50-600МГц прием, li-Ion 1600 мАч, зарядное устройство Type-C, гарантия 1 мес</t>
  </si>
  <si>
    <t>Р/ст Quansheng UV-K5(8) 136-174/400-480МГц, 50-600МГц прием, li-Ion 1600 мАч, зарядное устройство, Type-C, улучшенный динамик, гарантия 1 мес</t>
  </si>
  <si>
    <t>Антенна для Quansheng UV-K5, UV-K5(8), UV-K6 136-174/400-480МГц</t>
  </si>
  <si>
    <t>DB-1410VHF антенна автомобильная 136-174МГц, 2.15dBi, NMO, 0.47м, 10Вт без кабеля</t>
  </si>
  <si>
    <t>DB-1410VHF антенна автомобильная 136-174МГц, 2.15dBi, NMO, 0.47м, 10Вт с кабелем 4 м и скобой</t>
  </si>
  <si>
    <t>DBM-1410VHF антенна автомобильная 136-174МГц, 2.15dBi, NMO, магнит 77мм, 0.47м, 10Вт с кабелем 4 м</t>
  </si>
  <si>
    <t>NISSEI DG-503 MAX измеритель КСВ и мощности цифровой (аналоговые+DMR) 1.8-525МГц 2/20/200Вт, гарантия 1 год</t>
  </si>
  <si>
    <t>M60D4 Мачта составная, высота 6 м, вес 4.7 кг, длина колен 1500 мм, проволока для растяжек, на плоскую поверхность</t>
  </si>
  <si>
    <t>Зарядное устройство (стакан) для Kirisun T60. T65</t>
  </si>
  <si>
    <t>Р/ст AnyTone AT-3318UV двухдиапазонная 136-174/400-480МГц, КВ+СВ+авиадиапазон, 5Вт, Li-Ion 1800мАч зарядное устройство  Гарантия 1 год!</t>
  </si>
  <si>
    <t>Зарядное устройство (стакан) для StarNet S-200</t>
  </si>
  <si>
    <t>AXD-3 сплиттер 790-970,1700-2700МГц, 3 выхода, N-типа</t>
  </si>
  <si>
    <t>AXD-2 сплиттер 790-970,1700-2700МГц, 2 выхода, N-типа</t>
  </si>
  <si>
    <t>Зарядное устройство (стакан) для AT-3208Plus, AT-518 TURBO 7.4V</t>
  </si>
  <si>
    <t>Зарядное устройство (стакан) для AT-518 3.7V</t>
  </si>
  <si>
    <t>Р/ст AnyTone AT-588(V)  136-174МГц, 200 каналов, 60/25/10 Вт  Гарантия 12 месяцев!</t>
  </si>
  <si>
    <t>Кабель коаксиальный Teleconn 5D-FB 50 Ом</t>
  </si>
  <si>
    <t>Quesum R-8900 (V) УКВ ретранслятор  136-174МГц 30Вт, DMR Tier II/Analogue, гарантия 1 год</t>
  </si>
  <si>
    <t>Р/ст StarNet S-700 64-520/136-520МГц, 999 каналов, GPS, 10/25Вт, гарантия 6 месяцев</t>
  </si>
  <si>
    <t>President Jerry радиостанция носимая 27МГц 40 каналов ЧМ/АМ 5Вт EU+RU  LiIOn 1800мАч Гарантия 1 год</t>
  </si>
  <si>
    <t>Коннектор N(M) типа для кабеля LMR400/7D-FB под пайку</t>
  </si>
  <si>
    <t>QB-50HL аккумулторная батарея Li-Ion 2600 мАч для V10</t>
  </si>
  <si>
    <t>Р/ст AnyTone V10, 400-480МГц, 5Вт, Li-Ion 2600мАч, зарядное устройство, гарантия 12 месяцев</t>
  </si>
  <si>
    <t>РАСПРОДАЖА!!!</t>
  </si>
  <si>
    <t>YOSAN JC-350 р/ст авто, 27МГц, 120 каналов, AM/FM, 7 Вт, EU+RU гарантия 14 дней</t>
  </si>
  <si>
    <t>YOSAN CB-300 р/ст авто, 27МГц 480 каналов АМ/ЧМ 8Вт EU+RU миниатюрная гарантия 14 дней</t>
  </si>
  <si>
    <t>YOSAN JC-650 р/ст авто, 27МГц 240 каналов, АМ/ЧМ 8 Вт EU+RU гарантия 14 дней</t>
  </si>
  <si>
    <t>YOSAN CB-350 сверхминиатюрная р/ст авто, 27МГц 480 каналов АМ/ЧМ 5Вт EU+RU гарантия 14 дней</t>
  </si>
  <si>
    <t>AX-914Y Направленная антенна типа Yagi GSM-900 LTE 900 14dBi, N-female</t>
  </si>
  <si>
    <t>Sirio SDB 270 Black автомобильная двухдиапазонная врезная антенна 137-152/415-455 МГц (Италия)</t>
  </si>
  <si>
    <t>Sirio WY 136-4N Антенна базовая Yagi 4 элемента 136-174 МГц 7.5dBi N-тип</t>
  </si>
  <si>
    <t>Sirio WY 300-4N Антенна базовая Yagi 4 элемента 300-500 MГц 8dBi N-Тип</t>
  </si>
  <si>
    <t>Р/ст AnyTone AT-778UV 136-174/400-490МГц, 200 каналов, 5/15/25Вт VHF, 5/15/25/25Вт UHF, VOX, гарантия 1 год</t>
  </si>
  <si>
    <t>Р/ст AnyTone AT-D168UV DMR/analog, 136-174/400-480МГц, 5Вт, Li-Ion 1800мАч+2600мАч, антенна 12 см+38 см, зарядное устройство, гарантия 1 год</t>
  </si>
  <si>
    <t>Гарнитура для AnyTone AT-888</t>
  </si>
  <si>
    <t>Гарнитура для AnyTone AT-588/Luiton LT-590 c DTMF клавиатурой</t>
  </si>
  <si>
    <t>Гарнитура для AnyTone AT-588UV/AT-778UV c DTMF клавиатурой</t>
  </si>
  <si>
    <t>Монтажный набор для крепления СВ рации в 1DIN слот  (для AnyTone AT-505Pro, President Barry, Barry II, Teddy, Teddy II))</t>
  </si>
  <si>
    <t>SD-R2 антенна автомобильная гибкая 144/430MHz 2.15/2.5dB 38см  на магните 90мм кабель 4м UHF</t>
  </si>
  <si>
    <t xml:space="preserve">SG-507-MAG120 автомобильная антенна 144/430MHz UHF c креплением на магните 120мм </t>
  </si>
  <si>
    <t>Гарнитура KME-026 для POC раций Kirisun T60/T65 (для моделей с 1xSIM)</t>
  </si>
  <si>
    <t>Гарнитура скрытого ношения KME-032 для POC раций Kirisun T60/T65 (для моделей с 1хSIM)</t>
  </si>
  <si>
    <t>Гарнитура KME-K5CCT-E для POC раций Kirisun T60/T65 (для моделей с 2xSIM)</t>
  </si>
  <si>
    <t>Гарнитура скрытого ношения KME-K5CAT-B  для POC раций Kirisun T60/T65 (для моделей с 2хSIM)</t>
  </si>
  <si>
    <t>LUITON LT-398 р/ст авто, 27МГц, 240 каналов AM/FM, 10 Вт, EU+RU, 12/24V гарантия 6 месяцев</t>
  </si>
  <si>
    <t>Гарнитура для Yosan JC-600Plus 8-pin</t>
  </si>
  <si>
    <t>Гарнитура для Yosan JC-650 6-pin</t>
  </si>
  <si>
    <t>AnyTone AT-5289 II р/ст авто, 27МГц, 50 Вт, АМ/ЧМ, VOX, CTCSS/DCS, автоинформатор, гарантия 1 год</t>
  </si>
  <si>
    <t>Р/ст AnyTone AT-5189 400-490МГц, 250 каналов, 45/25/10 Вт  Гарантия 1 год!</t>
  </si>
  <si>
    <t>Чехол силиконовый для анализаторов RigExpert AA-650, AA-1500, AA-2000, AA-3000</t>
  </si>
  <si>
    <t>AnyTone AT-505 PRO, р/ст авто, 27МГц, 40 каналов, АМ/ЧМ, 4Вт, EU+RU, VOX, Roger Beep, гарантия 6 мес</t>
  </si>
  <si>
    <t>SD XGP-B60 антенна автомобильная 144/430МГц 2.5/3dBi 50Вт 9 см на магните 55 мм кабель 4.5м UHF</t>
  </si>
  <si>
    <t>Подписка на сервис 6 месяцев, 1 устройство (рация/диспетчер/приложение)</t>
  </si>
  <si>
    <t>Подписка на сервис 12 месяцев, 1 устройство  (рация/диспетчер/приложение)</t>
  </si>
  <si>
    <t>Рабочее место диспетчера через WEB, включена подписка на сервис 6 мес</t>
  </si>
  <si>
    <t>Рабочее место для мобильного телефона (IOS или Android), включена  подписка на сервис 6 мес</t>
  </si>
  <si>
    <t>Kirisun T60 GSM/3G/WIFI портативная рация, акк. 5200мАч, включена подписка на сервис 6 мес, гарантия 1 год</t>
  </si>
  <si>
    <t>Kirisun M50 GSM/3G/WIFI мобильная рация, включена подписка на сервис 6 мес, гарантия 1 год</t>
  </si>
  <si>
    <t>RigExpert MATCH антенный анализатор 0.1-70МГц, гарантия 1 год</t>
  </si>
  <si>
    <t>RigExpert MATCH ADVANCED антенный анализатор 0.1-230МГц, гарантия 1 год</t>
  </si>
  <si>
    <t>Р/ст Quansheng TK-11(5) 25-29.8 МГц,50-54 МГц, 136-174 МГц, 350-490 МГц, 0.15-1160МГц прием, 10Вт, Li-Ion 2500mAh, з/у, гарантия 6 мес</t>
  </si>
  <si>
    <t>Р/ст Quansheng TK-11(8) 25-29.8 МГц,50-54 МГц, 136-174 МГц, 350-490 МГц, 0.15-1160МГц прием, 10Вт, Li-Ion 3000mAh, з/у, гарантия 6 мес</t>
  </si>
  <si>
    <t>Р/ст StarNet S-100 400-480МГц, 3Вт, Li-Ion 1200 мАч, две кнопки РТТ, зарядное устройство, гарантия 6 мес</t>
  </si>
  <si>
    <t>Р/ст Baofeng BF-888s 400-470МГц (комплект 2 шт), 2Вт, Li-Ion 1500 мАч, зарядное устройство, гарантия 1 месяц</t>
  </si>
  <si>
    <t>Р/ст AnyTone AT-398UVA двухдиапазонная 136-174/400-480МГц, , 7Вт, Li-Ion 2200мАч зарядное устройство  Гарантия 1 год!</t>
  </si>
  <si>
    <t>Гарнитура EARPHONIC ER03DPLB16_K (наушник) для носимых раций с интерфейсом 2-PIN (K1)</t>
  </si>
  <si>
    <t>Гарнитура EARPHONIC ER02DP02SB6_K (ларингофон) для носимых раций с интерфейсом 2-PIN (K1)</t>
  </si>
  <si>
    <t>Гарнитура EARPHONIC ER02DP28SB6_K (скрытоносимая) для носимых раций с интерфейсом 2-PIN (K1)</t>
  </si>
  <si>
    <t>Гарнитура EARPHONIC ER01DP28SB1_K (Г-заушина) для носимых раций с интерфейсом 2-PIN (K1)</t>
  </si>
  <si>
    <t>Гарнитура EARPHONIC ER01DP28SB13_K (мининаушник) для носимых раций с интерфейсом 2-PIN (K1)</t>
  </si>
  <si>
    <t>BC-S100 Аккумуляторная батарея 1200 мАч для StarNet S-100</t>
  </si>
  <si>
    <t>Зарядное устройство (стакан( для StarNet S-400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</si>
</sst>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4" formatCode="#,##0.00\ _₽"/>
  </numFmts>
  <fonts count="21" x14ac:knownFonts="1">
    <font>
      <sz val="8"/>
      <name val="Arial"/>
      <family val="2"/>
      <charset val="204"/>
    </font>
    <font>
      <b/>
      <sz val="20"/>
      <name val="Arial"/>
      <family val="2"/>
      <charset val="204"/>
    </font>
    <font>
      <sz val="10"/>
      <name val="Arial"/>
      <family val="2"/>
      <charset val="204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1"/>
    </font>
    <font>
      <sz val="11"/>
      <color indexed="9"/>
      <name val="Arial"/>
      <family val="2"/>
      <charset val="204"/>
    </font>
    <font>
      <b/>
      <sz val="11"/>
      <name val="Arial"/>
      <family val="2"/>
      <charset val="204"/>
    </font>
    <font>
      <b/>
      <sz val="9"/>
      <name val="Arial"/>
      <family val="2"/>
      <charset val="204"/>
    </font>
    <font>
      <u/>
      <sz val="8"/>
      <name val="Arial"/>
      <family val="2"/>
      <charset val="204"/>
    </font>
    <font>
      <u/>
      <sz val="8"/>
      <color theme="10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10"/>
      <color theme="1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u/>
      <sz val="8"/>
      <color rgb="FF0033CC"/>
      <name val="Arial"/>
      <family val="2"/>
      <charset val="204"/>
    </font>
    <font>
      <sz val="8"/>
      <color rgb="FFFF0000"/>
      <name val="Arial"/>
      <family val="2"/>
      <charset val="204"/>
    </font>
    <font>
      <sz val="8"/>
      <color theme="10"/>
      <name val="Arial"/>
      <family val="2"/>
      <charset val="204"/>
    </font>
    <font>
      <b/>
      <sz val="8"/>
      <color rgb="FFFF0000"/>
      <name val="Arial"/>
      <family val="2"/>
      <charset val="204"/>
    </font>
    <font>
      <b/>
      <sz val="11"/>
      <color theme="1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4659260841701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horizontal="left"/>
    </xf>
    <xf numFmtId="0" fontId="10" fillId="0" borderId="0" applyNumberFormat="0" applyFill="0" applyBorder="0" applyAlignment="0" applyProtection="0">
      <alignment vertical="top"/>
      <protection locked="0"/>
    </xf>
  </cellStyleXfs>
  <cellXfs count="222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1" applyFont="1" applyAlignment="1" applyProtection="1"/>
    <xf numFmtId="0" fontId="0" fillId="0" borderId="1" xfId="0" applyFont="1" applyBorder="1" applyAlignment="1">
      <alignment vertical="center" wrapText="1"/>
    </xf>
    <xf numFmtId="0" fontId="0" fillId="2" borderId="0" xfId="0" applyFill="1" applyAlignment="1"/>
    <xf numFmtId="0" fontId="0" fillId="0" borderId="0" xfId="0" applyFont="1" applyAlignment="1"/>
    <xf numFmtId="0" fontId="0" fillId="5" borderId="1" xfId="0" applyFill="1" applyBorder="1" applyAlignment="1">
      <alignment vertical="center" wrapText="1"/>
    </xf>
    <xf numFmtId="0" fontId="0" fillId="5" borderId="1" xfId="0" applyFont="1" applyFill="1" applyBorder="1" applyAlignment="1">
      <alignment vertical="center" wrapText="1"/>
    </xf>
    <xf numFmtId="0" fontId="0" fillId="5" borderId="0" xfId="0" applyFill="1" applyAlignment="1"/>
    <xf numFmtId="0" fontId="0" fillId="5" borderId="1" xfId="0" applyFill="1" applyBorder="1" applyAlignment="1">
      <alignment vertical="top" wrapText="1"/>
    </xf>
    <xf numFmtId="0" fontId="0" fillId="0" borderId="2" xfId="0" applyBorder="1" applyAlignment="1">
      <alignment horizontal="center" vertical="center"/>
    </xf>
    <xf numFmtId="3" fontId="0" fillId="5" borderId="3" xfId="0" applyNumberFormat="1" applyFont="1" applyFill="1" applyBorder="1" applyAlignment="1">
      <alignment horizontal="right" vertical="center"/>
    </xf>
    <xf numFmtId="3" fontId="0" fillId="0" borderId="3" xfId="0" applyNumberFormat="1" applyFont="1" applyBorder="1" applyAlignment="1">
      <alignment horizontal="right" vertical="center"/>
    </xf>
    <xf numFmtId="3" fontId="0" fillId="5" borderId="0" xfId="0" applyNumberFormat="1" applyFont="1" applyFill="1" applyAlignment="1">
      <alignment horizontal="right" vertical="center"/>
    </xf>
    <xf numFmtId="3" fontId="0" fillId="5" borderId="4" xfId="0" applyNumberFormat="1" applyFont="1" applyFill="1" applyBorder="1" applyAlignment="1">
      <alignment horizontal="right" vertical="center"/>
    </xf>
    <xf numFmtId="3" fontId="0" fillId="0" borderId="0" xfId="0" applyNumberFormat="1" applyFont="1" applyAlignment="1"/>
    <xf numFmtId="3" fontId="0" fillId="0" borderId="5" xfId="0" applyNumberFormat="1" applyBorder="1" applyAlignment="1">
      <alignment horizontal="center" vertical="top" wrapText="1"/>
    </xf>
    <xf numFmtId="0" fontId="11" fillId="0" borderId="0" xfId="0" applyFont="1" applyAlignment="1"/>
    <xf numFmtId="3" fontId="4" fillId="0" borderId="0" xfId="0" applyNumberFormat="1" applyFont="1" applyAlignment="1">
      <alignment horizontal="center"/>
    </xf>
    <xf numFmtId="0" fontId="12" fillId="0" borderId="0" xfId="1" applyFont="1" applyAlignment="1" applyProtection="1"/>
    <xf numFmtId="0" fontId="2" fillId="5" borderId="0" xfId="1" applyFont="1" applyFill="1" applyAlignment="1" applyProtection="1">
      <alignment horizontal="left"/>
    </xf>
    <xf numFmtId="0" fontId="5" fillId="5" borderId="35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top" wrapText="1"/>
    </xf>
    <xf numFmtId="3" fontId="0" fillId="5" borderId="3" xfId="0" applyNumberFormat="1" applyFill="1" applyBorder="1" applyAlignment="1"/>
    <xf numFmtId="3" fontId="0" fillId="5" borderId="3" xfId="0" applyNumberFormat="1" applyFill="1" applyBorder="1" applyAlignment="1">
      <alignment horizontal="right"/>
    </xf>
    <xf numFmtId="3" fontId="6" fillId="3" borderId="3" xfId="0" applyNumberFormat="1" applyFont="1" applyFill="1" applyBorder="1" applyAlignment="1">
      <alignment horizontal="left" vertical="top" wrapText="1"/>
    </xf>
    <xf numFmtId="3" fontId="6" fillId="3" borderId="3" xfId="0" applyNumberFormat="1" applyFont="1" applyFill="1" applyBorder="1" applyAlignment="1">
      <alignment horizontal="right" vertical="center" wrapText="1"/>
    </xf>
    <xf numFmtId="0" fontId="0" fillId="0" borderId="1" xfId="0" applyFont="1" applyFill="1" applyBorder="1" applyAlignment="1">
      <alignment vertical="center" wrapText="1"/>
    </xf>
    <xf numFmtId="3" fontId="14" fillId="3" borderId="6" xfId="0" applyNumberFormat="1" applyFont="1" applyFill="1" applyBorder="1" applyAlignment="1">
      <alignment horizontal="right" vertical="top" wrapText="1"/>
    </xf>
    <xf numFmtId="0" fontId="0" fillId="0" borderId="1" xfId="0" applyFont="1" applyBorder="1" applyAlignment="1">
      <alignment horizontal="left" vertical="top" wrapText="1"/>
    </xf>
    <xf numFmtId="0" fontId="0" fillId="5" borderId="1" xfId="0" applyFill="1" applyBorder="1" applyAlignment="1"/>
    <xf numFmtId="0" fontId="7" fillId="4" borderId="7" xfId="0" applyFont="1" applyFill="1" applyBorder="1" applyAlignment="1">
      <alignment vertical="top" wrapText="1"/>
    </xf>
    <xf numFmtId="0" fontId="0" fillId="5" borderId="1" xfId="0" applyFont="1" applyFill="1" applyBorder="1" applyAlignment="1">
      <alignment vertical="top" wrapText="1"/>
    </xf>
    <xf numFmtId="0" fontId="0" fillId="5" borderId="8" xfId="0" applyFill="1" applyBorder="1" applyAlignment="1">
      <alignment vertical="top" wrapText="1"/>
    </xf>
    <xf numFmtId="0" fontId="0" fillId="2" borderId="8" xfId="0" applyFont="1" applyFill="1" applyBorder="1" applyAlignment="1">
      <alignment vertical="top" wrapText="1"/>
    </xf>
    <xf numFmtId="2" fontId="0" fillId="5" borderId="0" xfId="0" applyNumberFormat="1" applyFont="1" applyFill="1" applyAlignment="1">
      <alignment horizontal="right" vertical="center"/>
    </xf>
    <xf numFmtId="2" fontId="0" fillId="0" borderId="5" xfId="0" applyNumberFormat="1" applyBorder="1" applyAlignment="1">
      <alignment horizontal="center" vertical="top" wrapText="1"/>
    </xf>
    <xf numFmtId="2" fontId="0" fillId="5" borderId="4" xfId="0" applyNumberFormat="1" applyFont="1" applyFill="1" applyBorder="1" applyAlignment="1">
      <alignment horizontal="right" vertical="center"/>
    </xf>
    <xf numFmtId="2" fontId="0" fillId="5" borderId="3" xfId="0" applyNumberFormat="1" applyFont="1" applyFill="1" applyBorder="1" applyAlignment="1">
      <alignment horizontal="right" vertical="center"/>
    </xf>
    <xf numFmtId="2" fontId="15" fillId="5" borderId="3" xfId="0" applyNumberFormat="1" applyFont="1" applyFill="1" applyBorder="1" applyAlignment="1">
      <alignment horizontal="right" vertical="center"/>
    </xf>
    <xf numFmtId="2" fontId="0" fillId="5" borderId="3" xfId="0" applyNumberFormat="1" applyFill="1" applyBorder="1" applyAlignment="1">
      <alignment horizontal="right"/>
    </xf>
    <xf numFmtId="2" fontId="6" fillId="3" borderId="3" xfId="0" applyNumberFormat="1" applyFont="1" applyFill="1" applyBorder="1" applyAlignment="1">
      <alignment horizontal="right" vertical="center" wrapText="1"/>
    </xf>
    <xf numFmtId="2" fontId="14" fillId="3" borderId="6" xfId="0" applyNumberFormat="1" applyFont="1" applyFill="1" applyBorder="1" applyAlignment="1">
      <alignment horizontal="right" vertical="top" wrapText="1"/>
    </xf>
    <xf numFmtId="2" fontId="0" fillId="5" borderId="9" xfId="0" applyNumberFormat="1" applyFont="1" applyFill="1" applyBorder="1" applyAlignment="1">
      <alignment horizontal="right" vertical="center"/>
    </xf>
    <xf numFmtId="2" fontId="0" fillId="5" borderId="10" xfId="0" applyNumberFormat="1" applyFont="1" applyFill="1" applyBorder="1" applyAlignment="1">
      <alignment horizontal="right" vertical="center"/>
    </xf>
    <xf numFmtId="2" fontId="0" fillId="5" borderId="11" xfId="0" applyNumberFormat="1" applyFont="1" applyFill="1" applyBorder="1" applyAlignment="1">
      <alignment horizontal="right" vertical="center"/>
    </xf>
    <xf numFmtId="3" fontId="0" fillId="5" borderId="12" xfId="0" applyNumberFormat="1" applyFont="1" applyFill="1" applyBorder="1" applyAlignment="1">
      <alignment horizontal="right" vertical="center"/>
    </xf>
    <xf numFmtId="3" fontId="8" fillId="0" borderId="13" xfId="0" applyNumberFormat="1" applyFont="1" applyBorder="1" applyAlignment="1">
      <alignment horizontal="center" vertical="center" wrapText="1"/>
    </xf>
    <xf numFmtId="2" fontId="8" fillId="0" borderId="13" xfId="0" applyNumberFormat="1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2" fontId="0" fillId="5" borderId="3" xfId="0" applyNumberFormat="1" applyFont="1" applyFill="1" applyBorder="1" applyAlignment="1">
      <alignment horizontal="right" vertical="top" wrapText="1"/>
    </xf>
    <xf numFmtId="2" fontId="0" fillId="5" borderId="3" xfId="0" applyNumberFormat="1" applyFont="1" applyFill="1" applyBorder="1" applyAlignment="1">
      <alignment horizontal="right"/>
    </xf>
    <xf numFmtId="0" fontId="7" fillId="6" borderId="7" xfId="0" applyFont="1" applyFill="1" applyBorder="1" applyAlignment="1">
      <alignment vertical="top" wrapText="1"/>
    </xf>
    <xf numFmtId="0" fontId="10" fillId="5" borderId="1" xfId="1" applyFill="1" applyBorder="1" applyAlignment="1" applyProtection="1">
      <alignment vertical="top" wrapText="1"/>
    </xf>
    <xf numFmtId="0" fontId="10" fillId="5" borderId="1" xfId="1" applyFill="1" applyBorder="1" applyAlignment="1" applyProtection="1">
      <alignment horizontal="left" vertical="top" wrapText="1"/>
    </xf>
    <xf numFmtId="0" fontId="10" fillId="5" borderId="8" xfId="1" applyFill="1" applyBorder="1" applyAlignment="1" applyProtection="1">
      <alignment vertical="top" wrapText="1"/>
    </xf>
    <xf numFmtId="0" fontId="10" fillId="2" borderId="8" xfId="1" applyFill="1" applyBorder="1" applyAlignment="1" applyProtection="1">
      <alignment vertical="top" wrapText="1"/>
    </xf>
    <xf numFmtId="0" fontId="10" fillId="5" borderId="1" xfId="1" applyFill="1" applyBorder="1" applyAlignment="1" applyProtection="1"/>
    <xf numFmtId="0" fontId="10" fillId="0" borderId="1" xfId="1" applyBorder="1" applyAlignment="1" applyProtection="1">
      <alignment vertical="center" wrapText="1"/>
    </xf>
    <xf numFmtId="0" fontId="10" fillId="2" borderId="1" xfId="1" applyFill="1" applyBorder="1" applyAlignment="1" applyProtection="1">
      <alignment vertical="top" wrapText="1"/>
    </xf>
    <xf numFmtId="0" fontId="10" fillId="5" borderId="15" xfId="1" applyFill="1" applyBorder="1" applyAlignment="1" applyProtection="1">
      <alignment vertical="top" wrapText="1"/>
    </xf>
    <xf numFmtId="0" fontId="10" fillId="0" borderId="8" xfId="1" applyFill="1" applyBorder="1" applyAlignment="1" applyProtection="1">
      <alignment vertical="top" wrapText="1"/>
    </xf>
    <xf numFmtId="0" fontId="10" fillId="0" borderId="1" xfId="1" applyFill="1" applyBorder="1" applyAlignment="1" applyProtection="1">
      <alignment vertical="center" wrapText="1"/>
    </xf>
    <xf numFmtId="0" fontId="10" fillId="0" borderId="1" xfId="1" applyBorder="1" applyAlignment="1" applyProtection="1">
      <alignment horizontal="left" vertical="top" wrapText="1"/>
    </xf>
    <xf numFmtId="0" fontId="10" fillId="0" borderId="1" xfId="1" applyBorder="1" applyAlignment="1" applyProtection="1"/>
    <xf numFmtId="2" fontId="0" fillId="5" borderId="4" xfId="0" applyNumberFormat="1" applyFont="1" applyFill="1" applyBorder="1" applyAlignment="1">
      <alignment horizontal="right"/>
    </xf>
    <xf numFmtId="2" fontId="0" fillId="5" borderId="4" xfId="0" applyNumberFormat="1" applyFill="1" applyBorder="1" applyAlignment="1">
      <alignment horizontal="right"/>
    </xf>
    <xf numFmtId="2" fontId="0" fillId="5" borderId="4" xfId="0" applyNumberFormat="1" applyFont="1" applyFill="1" applyBorder="1" applyAlignment="1">
      <alignment horizontal="right" vertical="top" wrapText="1"/>
    </xf>
    <xf numFmtId="2" fontId="6" fillId="3" borderId="4" xfId="0" applyNumberFormat="1" applyFont="1" applyFill="1" applyBorder="1" applyAlignment="1">
      <alignment horizontal="right" vertical="center" wrapText="1"/>
    </xf>
    <xf numFmtId="0" fontId="10" fillId="0" borderId="7" xfId="1" applyBorder="1" applyAlignment="1" applyProtection="1">
      <alignment horizontal="left"/>
    </xf>
    <xf numFmtId="2" fontId="14" fillId="3" borderId="16" xfId="0" applyNumberFormat="1" applyFont="1" applyFill="1" applyBorder="1" applyAlignment="1">
      <alignment horizontal="right" vertical="top" wrapText="1"/>
    </xf>
    <xf numFmtId="2" fontId="0" fillId="5" borderId="17" xfId="0" applyNumberFormat="1" applyFont="1" applyFill="1" applyBorder="1" applyAlignment="1">
      <alignment horizontal="right" vertical="center"/>
    </xf>
    <xf numFmtId="2" fontId="15" fillId="5" borderId="4" xfId="0" applyNumberFormat="1" applyFont="1" applyFill="1" applyBorder="1" applyAlignment="1">
      <alignment horizontal="right" vertical="center"/>
    </xf>
    <xf numFmtId="2" fontId="0" fillId="5" borderId="18" xfId="0" applyNumberFormat="1" applyFont="1" applyFill="1" applyBorder="1" applyAlignment="1">
      <alignment horizontal="right" vertical="center"/>
    </xf>
    <xf numFmtId="0" fontId="16" fillId="5" borderId="0" xfId="0" applyFont="1" applyFill="1" applyAlignment="1"/>
    <xf numFmtId="0" fontId="16" fillId="5" borderId="1" xfId="1" applyFont="1" applyFill="1" applyBorder="1" applyAlignment="1" applyProtection="1">
      <alignment vertical="center" wrapText="1"/>
    </xf>
    <xf numFmtId="0" fontId="16" fillId="5" borderId="1" xfId="0" applyFont="1" applyFill="1" applyBorder="1" applyAlignment="1">
      <alignment vertical="center" wrapText="1"/>
    </xf>
    <xf numFmtId="0" fontId="16" fillId="2" borderId="0" xfId="0" applyFont="1" applyFill="1" applyAlignment="1"/>
    <xf numFmtId="0" fontId="16" fillId="0" borderId="0" xfId="0" applyFont="1" applyAlignment="1"/>
    <xf numFmtId="3" fontId="0" fillId="5" borderId="19" xfId="0" applyNumberFormat="1" applyFont="1" applyFill="1" applyBorder="1" applyAlignment="1">
      <alignment horizontal="right" vertical="center"/>
    </xf>
    <xf numFmtId="2" fontId="0" fillId="5" borderId="19" xfId="0" applyNumberFormat="1" applyFont="1" applyFill="1" applyBorder="1" applyAlignment="1">
      <alignment horizontal="right" vertical="center"/>
    </xf>
    <xf numFmtId="2" fontId="0" fillId="5" borderId="20" xfId="0" applyNumberFormat="1" applyFont="1" applyFill="1" applyBorder="1" applyAlignment="1">
      <alignment horizontal="right" vertical="center"/>
    </xf>
    <xf numFmtId="2" fontId="0" fillId="5" borderId="21" xfId="0" applyNumberFormat="1" applyFont="1" applyFill="1" applyBorder="1" applyAlignment="1">
      <alignment horizontal="right" vertical="center"/>
    </xf>
    <xf numFmtId="0" fontId="10" fillId="5" borderId="7" xfId="1" applyFill="1" applyBorder="1" applyAlignment="1" applyProtection="1">
      <alignment horizontal="left"/>
    </xf>
    <xf numFmtId="0" fontId="10" fillId="5" borderId="1" xfId="1" applyFill="1" applyBorder="1" applyAlignment="1" applyProtection="1">
      <alignment horizontal="left"/>
    </xf>
    <xf numFmtId="0" fontId="10" fillId="0" borderId="1" xfId="1" applyBorder="1" applyAlignment="1" applyProtection="1">
      <alignment horizontal="left"/>
    </xf>
    <xf numFmtId="0" fontId="0" fillId="0" borderId="7" xfId="0" applyBorder="1">
      <alignment horizontal="left"/>
    </xf>
    <xf numFmtId="2" fontId="0" fillId="5" borderId="22" xfId="0" applyNumberFormat="1" applyFill="1" applyBorder="1" applyAlignment="1">
      <alignment horizontal="right"/>
    </xf>
    <xf numFmtId="2" fontId="0" fillId="5" borderId="20" xfId="0" applyNumberFormat="1" applyFill="1" applyBorder="1" applyAlignment="1">
      <alignment horizontal="right"/>
    </xf>
    <xf numFmtId="0" fontId="17" fillId="0" borderId="0" xfId="0" applyFont="1" applyAlignment="1"/>
    <xf numFmtId="0" fontId="0" fillId="0" borderId="0" xfId="0" applyBorder="1" applyAlignment="1"/>
    <xf numFmtId="0" fontId="10" fillId="0" borderId="0" xfId="1" applyBorder="1" applyAlignment="1" applyProtection="1"/>
    <xf numFmtId="0" fontId="10" fillId="5" borderId="1" xfId="1" applyFill="1" applyBorder="1" applyAlignment="1" applyProtection="1">
      <alignment wrapText="1"/>
    </xf>
    <xf numFmtId="0" fontId="9" fillId="5" borderId="7" xfId="1" applyFont="1" applyFill="1" applyBorder="1" applyAlignment="1" applyProtection="1">
      <alignment horizontal="left"/>
    </xf>
    <xf numFmtId="3" fontId="3" fillId="5" borderId="3" xfId="0" applyNumberFormat="1" applyFont="1" applyFill="1" applyBorder="1" applyAlignment="1">
      <alignment horizontal="right" vertical="center"/>
    </xf>
    <xf numFmtId="2" fontId="3" fillId="5" borderId="4" xfId="0" applyNumberFormat="1" applyFont="1" applyFill="1" applyBorder="1" applyAlignment="1">
      <alignment horizontal="right" vertical="center"/>
    </xf>
    <xf numFmtId="0" fontId="9" fillId="5" borderId="8" xfId="1" applyFont="1" applyFill="1" applyBorder="1" applyAlignment="1" applyProtection="1">
      <alignment vertical="top" wrapText="1"/>
    </xf>
    <xf numFmtId="2" fontId="3" fillId="5" borderId="10" xfId="0" applyNumberFormat="1" applyFont="1" applyFill="1" applyBorder="1" applyAlignment="1">
      <alignment horizontal="right" vertical="center"/>
    </xf>
    <xf numFmtId="14" fontId="4" fillId="5" borderId="3" xfId="0" applyNumberFormat="1" applyFont="1" applyFill="1" applyBorder="1" applyAlignment="1">
      <alignment horizontal="center"/>
    </xf>
    <xf numFmtId="0" fontId="10" fillId="5" borderId="1" xfId="1" applyFill="1" applyBorder="1" applyAlignment="1" applyProtection="1">
      <alignment vertical="center" wrapText="1"/>
    </xf>
    <xf numFmtId="3" fontId="0" fillId="7" borderId="3" xfId="0" applyNumberFormat="1" applyFont="1" applyFill="1" applyBorder="1" applyAlignment="1">
      <alignment horizontal="right" vertical="center"/>
    </xf>
    <xf numFmtId="2" fontId="0" fillId="7" borderId="4" xfId="0" applyNumberFormat="1" applyFont="1" applyFill="1" applyBorder="1" applyAlignment="1">
      <alignment horizontal="right" vertical="center"/>
    </xf>
    <xf numFmtId="0" fontId="0" fillId="0" borderId="0" xfId="0" applyAlignment="1">
      <alignment wrapText="1"/>
    </xf>
    <xf numFmtId="2" fontId="3" fillId="5" borderId="3" xfId="0" applyNumberFormat="1" applyFont="1" applyFill="1" applyBorder="1" applyAlignment="1">
      <alignment horizontal="right" vertical="center"/>
    </xf>
    <xf numFmtId="3" fontId="0" fillId="5" borderId="3" xfId="0" applyNumberFormat="1" applyFont="1" applyFill="1" applyBorder="1" applyAlignment="1">
      <alignment horizontal="right" vertical="center" wrapText="1"/>
    </xf>
    <xf numFmtId="2" fontId="0" fillId="5" borderId="3" xfId="0" applyNumberFormat="1" applyFont="1" applyFill="1" applyBorder="1" applyAlignment="1">
      <alignment horizontal="right" vertical="center" wrapText="1"/>
    </xf>
    <xf numFmtId="2" fontId="0" fillId="5" borderId="4" xfId="0" applyNumberFormat="1" applyFont="1" applyFill="1" applyBorder="1" applyAlignment="1">
      <alignment horizontal="right" vertical="center" wrapText="1"/>
    </xf>
    <xf numFmtId="0" fontId="10" fillId="5" borderId="7" xfId="1" applyFill="1" applyBorder="1" applyAlignment="1" applyProtection="1">
      <alignment horizontal="left" wrapText="1"/>
    </xf>
    <xf numFmtId="0" fontId="10" fillId="7" borderId="1" xfId="1" applyFill="1" applyBorder="1" applyAlignment="1" applyProtection="1">
      <alignment vertical="top" wrapText="1"/>
    </xf>
    <xf numFmtId="2" fontId="0" fillId="7" borderId="3" xfId="0" applyNumberFormat="1" applyFont="1" applyFill="1" applyBorder="1" applyAlignment="1">
      <alignment horizontal="right" vertical="center"/>
    </xf>
    <xf numFmtId="0" fontId="0" fillId="5" borderId="8" xfId="0" applyFont="1" applyFill="1" applyBorder="1" applyAlignment="1">
      <alignment vertical="top" wrapText="1"/>
    </xf>
    <xf numFmtId="0" fontId="9" fillId="5" borderId="1" xfId="1" applyFont="1" applyFill="1" applyBorder="1" applyAlignment="1" applyProtection="1">
      <alignment vertical="center" wrapText="1"/>
    </xf>
    <xf numFmtId="3" fontId="0" fillId="5" borderId="23" xfId="0" applyNumberFormat="1" applyFont="1" applyFill="1" applyBorder="1" applyAlignment="1">
      <alignment horizontal="right" vertical="center"/>
    </xf>
    <xf numFmtId="2" fontId="0" fillId="5" borderId="23" xfId="0" applyNumberFormat="1" applyFont="1" applyFill="1" applyBorder="1" applyAlignment="1">
      <alignment horizontal="right" vertical="center"/>
    </xf>
    <xf numFmtId="2" fontId="0" fillId="0" borderId="0" xfId="0" applyNumberFormat="1" applyAlignment="1">
      <alignment wrapText="1"/>
    </xf>
    <xf numFmtId="0" fontId="10" fillId="5" borderId="1" xfId="1" applyFill="1" applyBorder="1" applyAlignment="1" applyProtection="1">
      <alignment horizontal="left" vertical="center" wrapText="1"/>
    </xf>
    <xf numFmtId="2" fontId="10" fillId="5" borderId="1" xfId="1" applyNumberFormat="1" applyFill="1" applyBorder="1" applyAlignment="1" applyProtection="1">
      <alignment wrapText="1"/>
    </xf>
    <xf numFmtId="4" fontId="4" fillId="8" borderId="0" xfId="0" applyNumberFormat="1" applyFont="1" applyFill="1" applyBorder="1" applyAlignment="1">
      <alignment horizontal="center"/>
    </xf>
    <xf numFmtId="4" fontId="4" fillId="8" borderId="0" xfId="0" applyNumberFormat="1" applyFont="1" applyFill="1" applyBorder="1" applyAlignment="1">
      <alignment horizontal="right" vertical="center"/>
    </xf>
    <xf numFmtId="2" fontId="4" fillId="8" borderId="0" xfId="0" applyNumberFormat="1" applyFont="1" applyFill="1" applyBorder="1" applyAlignment="1">
      <alignment horizontal="right" vertical="center"/>
    </xf>
    <xf numFmtId="3" fontId="0" fillId="0" borderId="0" xfId="0" applyNumberFormat="1" applyAlignment="1"/>
    <xf numFmtId="0" fontId="10" fillId="7" borderId="1" xfId="1" applyFill="1" applyBorder="1" applyAlignment="1" applyProtection="1">
      <alignment horizontal="left"/>
    </xf>
    <xf numFmtId="1" fontId="0" fillId="0" borderId="0" xfId="0" applyNumberFormat="1" applyAlignment="1"/>
    <xf numFmtId="1" fontId="0" fillId="2" borderId="0" xfId="0" applyNumberFormat="1" applyFill="1" applyAlignment="1"/>
    <xf numFmtId="1" fontId="0" fillId="5" borderId="0" xfId="0" applyNumberFormat="1" applyFill="1" applyAlignment="1"/>
    <xf numFmtId="1" fontId="0" fillId="5" borderId="0" xfId="0" applyNumberFormat="1" applyFill="1" applyAlignment="1">
      <alignment wrapText="1"/>
    </xf>
    <xf numFmtId="2" fontId="0" fillId="7" borderId="3" xfId="0" applyNumberFormat="1" applyFont="1" applyFill="1" applyBorder="1" applyAlignment="1">
      <alignment horizontal="right" vertical="top" wrapText="1"/>
    </xf>
    <xf numFmtId="2" fontId="0" fillId="7" borderId="4" xfId="0" applyNumberFormat="1" applyFont="1" applyFill="1" applyBorder="1" applyAlignment="1">
      <alignment horizontal="right" vertical="top" wrapText="1"/>
    </xf>
    <xf numFmtId="3" fontId="0" fillId="5" borderId="19" xfId="0" applyNumberFormat="1" applyFont="1" applyFill="1" applyBorder="1" applyAlignment="1">
      <alignment horizontal="right" vertical="center" wrapText="1"/>
    </xf>
    <xf numFmtId="184" fontId="10" fillId="5" borderId="7" xfId="1" applyNumberFormat="1" applyFill="1" applyBorder="1" applyAlignment="1" applyProtection="1">
      <alignment horizontal="left" wrapText="1"/>
    </xf>
    <xf numFmtId="0" fontId="10" fillId="5" borderId="24" xfId="1" applyFill="1" applyBorder="1" applyAlignment="1" applyProtection="1">
      <alignment horizontal="left" wrapText="1"/>
    </xf>
    <xf numFmtId="0" fontId="10" fillId="5" borderId="25" xfId="1" applyFill="1" applyBorder="1" applyAlignment="1" applyProtection="1">
      <alignment horizontal="left"/>
    </xf>
    <xf numFmtId="0" fontId="18" fillId="5" borderId="1" xfId="1" applyFont="1" applyFill="1" applyBorder="1" applyAlignment="1" applyProtection="1">
      <alignment vertical="top" wrapText="1"/>
    </xf>
    <xf numFmtId="2" fontId="0" fillId="0" borderId="0" xfId="0" applyNumberFormat="1" applyAlignment="1"/>
    <xf numFmtId="2" fontId="0" fillId="5" borderId="3" xfId="0" applyNumberFormat="1" applyFill="1" applyBorder="1" applyAlignment="1">
      <alignment vertical="center" shrinkToFit="1"/>
    </xf>
    <xf numFmtId="2" fontId="0" fillId="5" borderId="4" xfId="0" applyNumberFormat="1" applyFill="1" applyBorder="1" applyAlignment="1">
      <alignment vertical="center" shrinkToFit="1"/>
    </xf>
    <xf numFmtId="0" fontId="0" fillId="5" borderId="3" xfId="0" applyFill="1" applyBorder="1" applyAlignment="1"/>
    <xf numFmtId="0" fontId="0" fillId="5" borderId="4" xfId="0" applyFill="1" applyBorder="1" applyAlignment="1"/>
    <xf numFmtId="0" fontId="10" fillId="5" borderId="1" xfId="1" applyNumberFormat="1" applyFill="1" applyBorder="1" applyAlignment="1" applyProtection="1">
      <alignment wrapText="1"/>
    </xf>
    <xf numFmtId="2" fontId="0" fillId="5" borderId="3" xfId="0" applyNumberFormat="1" applyFont="1" applyFill="1" applyBorder="1" applyAlignment="1">
      <alignment wrapText="1"/>
    </xf>
    <xf numFmtId="2" fontId="0" fillId="5" borderId="4" xfId="0" applyNumberFormat="1" applyFont="1" applyFill="1" applyBorder="1" applyAlignment="1">
      <alignment wrapText="1"/>
    </xf>
    <xf numFmtId="0" fontId="16" fillId="0" borderId="1" xfId="1" applyFont="1" applyFill="1" applyBorder="1" applyAlignment="1" applyProtection="1">
      <alignment vertical="center" wrapText="1"/>
    </xf>
    <xf numFmtId="3" fontId="0" fillId="0" borderId="3" xfId="0" applyNumberFormat="1" applyFont="1" applyFill="1" applyBorder="1" applyAlignment="1">
      <alignment horizontal="right" vertical="center"/>
    </xf>
    <xf numFmtId="2" fontId="0" fillId="0" borderId="3" xfId="0" applyNumberFormat="1" applyFont="1" applyFill="1" applyBorder="1" applyAlignment="1">
      <alignment horizontal="right" vertical="center"/>
    </xf>
    <xf numFmtId="2" fontId="0" fillId="0" borderId="4" xfId="0" applyNumberFormat="1" applyFont="1" applyFill="1" applyBorder="1" applyAlignment="1">
      <alignment horizontal="right" vertical="center"/>
    </xf>
    <xf numFmtId="0" fontId="10" fillId="0" borderId="7" xfId="1" applyFill="1" applyBorder="1" applyAlignment="1" applyProtection="1">
      <alignment horizontal="left" wrapText="1"/>
    </xf>
    <xf numFmtId="0" fontId="10" fillId="0" borderId="1" xfId="1" applyFill="1" applyBorder="1" applyAlignment="1" applyProtection="1">
      <alignment horizontal="left"/>
    </xf>
    <xf numFmtId="2" fontId="0" fillId="0" borderId="3" xfId="0" applyNumberFormat="1" applyFont="1" applyFill="1" applyBorder="1" applyAlignment="1">
      <alignment horizontal="right" vertical="top" wrapText="1"/>
    </xf>
    <xf numFmtId="2" fontId="0" fillId="0" borderId="4" xfId="0" applyNumberFormat="1" applyFont="1" applyFill="1" applyBorder="1" applyAlignment="1">
      <alignment horizontal="right" vertical="top" wrapText="1"/>
    </xf>
    <xf numFmtId="0" fontId="10" fillId="0" borderId="1" xfId="1" applyFill="1" applyBorder="1" applyAlignment="1" applyProtection="1"/>
    <xf numFmtId="0" fontId="10" fillId="0" borderId="1" xfId="1" applyFill="1" applyBorder="1" applyAlignment="1" applyProtection="1">
      <alignment vertical="top" wrapText="1"/>
    </xf>
    <xf numFmtId="2" fontId="15" fillId="0" borderId="3" xfId="0" applyNumberFormat="1" applyFont="1" applyFill="1" applyBorder="1" applyAlignment="1">
      <alignment horizontal="right" vertical="center"/>
    </xf>
    <xf numFmtId="2" fontId="15" fillId="0" borderId="4" xfId="0" applyNumberFormat="1" applyFont="1" applyFill="1" applyBorder="1" applyAlignment="1">
      <alignment horizontal="right" vertical="center"/>
    </xf>
    <xf numFmtId="0" fontId="19" fillId="5" borderId="0" xfId="0" applyFont="1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2" fontId="19" fillId="5" borderId="0" xfId="0" applyNumberFormat="1" applyFont="1" applyFill="1" applyAlignment="1">
      <alignment vertical="center" wrapText="1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0" fillId="5" borderId="7" xfId="1" applyFill="1" applyBorder="1" applyAlignment="1" applyProtection="1">
      <alignment wrapText="1"/>
    </xf>
    <xf numFmtId="2" fontId="0" fillId="5" borderId="3" xfId="0" applyNumberFormat="1" applyFill="1" applyBorder="1" applyAlignment="1">
      <alignment vertical="center"/>
    </xf>
    <xf numFmtId="2" fontId="0" fillId="5" borderId="4" xfId="0" applyNumberFormat="1" applyFill="1" applyBorder="1" applyAlignment="1">
      <alignment vertical="center"/>
    </xf>
    <xf numFmtId="2" fontId="0" fillId="5" borderId="21" xfId="0" applyNumberFormat="1" applyFont="1" applyFill="1" applyBorder="1" applyAlignment="1">
      <alignment horizontal="right" vertical="center" wrapText="1"/>
    </xf>
    <xf numFmtId="0" fontId="10" fillId="7" borderId="7" xfId="1" applyFill="1" applyBorder="1" applyAlignment="1" applyProtection="1">
      <alignment horizontal="left"/>
    </xf>
    <xf numFmtId="0" fontId="10" fillId="7" borderId="1" xfId="1" applyFill="1" applyBorder="1" applyAlignment="1" applyProtection="1">
      <alignment vertical="center" wrapText="1"/>
    </xf>
    <xf numFmtId="0" fontId="10" fillId="8" borderId="1" xfId="1" applyFill="1" applyBorder="1" applyAlignment="1" applyProtection="1">
      <alignment vertical="top" wrapText="1"/>
    </xf>
    <xf numFmtId="3" fontId="0" fillId="8" borderId="3" xfId="0" applyNumberFormat="1" applyFont="1" applyFill="1" applyBorder="1" applyAlignment="1">
      <alignment horizontal="right" vertical="center"/>
    </xf>
    <xf numFmtId="2" fontId="0" fillId="8" borderId="3" xfId="0" applyNumberFormat="1" applyFont="1" applyFill="1" applyBorder="1" applyAlignment="1">
      <alignment horizontal="right" vertical="center"/>
    </xf>
    <xf numFmtId="2" fontId="0" fillId="8" borderId="4" xfId="0" applyNumberFormat="1" applyFont="1" applyFill="1" applyBorder="1" applyAlignment="1">
      <alignment horizontal="right" vertical="center"/>
    </xf>
    <xf numFmtId="0" fontId="16" fillId="8" borderId="1" xfId="1" applyFont="1" applyFill="1" applyBorder="1" applyAlignment="1" applyProtection="1">
      <alignment vertical="center" wrapText="1"/>
    </xf>
    <xf numFmtId="0" fontId="10" fillId="5" borderId="1" xfId="1" applyFill="1" applyBorder="1" applyAlignment="1" applyProtection="1">
      <alignment horizontal="left" wrapText="1"/>
    </xf>
    <xf numFmtId="0" fontId="14" fillId="3" borderId="1" xfId="0" applyFont="1" applyFill="1" applyBorder="1" applyAlignment="1">
      <alignment horizontal="left" vertical="top" wrapText="1"/>
    </xf>
    <xf numFmtId="0" fontId="16" fillId="7" borderId="1" xfId="1" applyFont="1" applyFill="1" applyBorder="1" applyAlignment="1" applyProtection="1">
      <alignment vertical="top" wrapText="1"/>
    </xf>
    <xf numFmtId="0" fontId="10" fillId="8" borderId="7" xfId="1" applyFill="1" applyBorder="1" applyAlignment="1" applyProtection="1">
      <alignment horizontal="left"/>
    </xf>
    <xf numFmtId="0" fontId="9" fillId="7" borderId="25" xfId="1" applyFont="1" applyFill="1" applyBorder="1" applyAlignment="1" applyProtection="1">
      <alignment horizontal="left"/>
    </xf>
    <xf numFmtId="3" fontId="3" fillId="7" borderId="3" xfId="0" applyNumberFormat="1" applyFont="1" applyFill="1" applyBorder="1" applyAlignment="1">
      <alignment horizontal="right" vertical="center"/>
    </xf>
    <xf numFmtId="2" fontId="3" fillId="7" borderId="3" xfId="0" applyNumberFormat="1" applyFont="1" applyFill="1" applyBorder="1" applyAlignment="1">
      <alignment horizontal="right" vertical="center"/>
    </xf>
    <xf numFmtId="2" fontId="3" fillId="7" borderId="4" xfId="0" applyNumberFormat="1" applyFont="1" applyFill="1" applyBorder="1" applyAlignment="1">
      <alignment horizontal="right" vertical="center"/>
    </xf>
    <xf numFmtId="0" fontId="0" fillId="5" borderId="7" xfId="0" applyFill="1" applyBorder="1">
      <alignment horizontal="left"/>
    </xf>
    <xf numFmtId="0" fontId="10" fillId="8" borderId="1" xfId="1" applyFill="1" applyBorder="1" applyAlignment="1" applyProtection="1">
      <alignment horizontal="left"/>
    </xf>
    <xf numFmtId="0" fontId="19" fillId="7" borderId="0" xfId="0" applyFont="1" applyFill="1" applyAlignment="1">
      <alignment vertical="center" wrapText="1"/>
    </xf>
    <xf numFmtId="2" fontId="0" fillId="8" borderId="3" xfId="0" applyNumberFormat="1" applyFont="1" applyFill="1" applyBorder="1" applyAlignment="1">
      <alignment horizontal="right" vertical="center"/>
    </xf>
    <xf numFmtId="2" fontId="0" fillId="8" borderId="4" xfId="0" applyNumberFormat="1" applyFont="1" applyFill="1" applyBorder="1" applyAlignment="1">
      <alignment horizontal="right" vertical="center"/>
    </xf>
    <xf numFmtId="0" fontId="0" fillId="7" borderId="8" xfId="0" applyFill="1" applyBorder="1" applyAlignment="1">
      <alignment vertical="top" wrapText="1"/>
    </xf>
    <xf numFmtId="2" fontId="0" fillId="7" borderId="10" xfId="0" applyNumberFormat="1" applyFont="1" applyFill="1" applyBorder="1" applyAlignment="1">
      <alignment horizontal="right" vertical="center"/>
    </xf>
    <xf numFmtId="3" fontId="0" fillId="7" borderId="19" xfId="0" applyNumberFormat="1" applyFont="1" applyFill="1" applyBorder="1" applyAlignment="1">
      <alignment horizontal="right" vertical="center"/>
    </xf>
    <xf numFmtId="2" fontId="0" fillId="7" borderId="26" xfId="0" applyNumberFormat="1" applyFont="1" applyFill="1" applyBorder="1" applyAlignment="1">
      <alignment horizontal="right" vertical="center"/>
    </xf>
    <xf numFmtId="2" fontId="0" fillId="7" borderId="27" xfId="0" applyNumberFormat="1" applyFont="1" applyFill="1" applyBorder="1" applyAlignment="1">
      <alignment horizontal="right" vertical="center"/>
    </xf>
    <xf numFmtId="0" fontId="14" fillId="3" borderId="24" xfId="0" applyFont="1" applyFill="1" applyBorder="1" applyAlignment="1">
      <alignment horizontal="left" vertical="top" wrapText="1"/>
    </xf>
    <xf numFmtId="0" fontId="14" fillId="3" borderId="28" xfId="0" applyFont="1" applyFill="1" applyBorder="1" applyAlignment="1">
      <alignment horizontal="left" vertical="top" wrapText="1"/>
    </xf>
    <xf numFmtId="0" fontId="14" fillId="3" borderId="21" xfId="0" applyFont="1" applyFill="1" applyBorder="1" applyAlignment="1">
      <alignment horizontal="left" vertical="top" wrapText="1"/>
    </xf>
    <xf numFmtId="0" fontId="14" fillId="6" borderId="24" xfId="0" applyFont="1" applyFill="1" applyBorder="1" applyAlignment="1">
      <alignment horizontal="left" vertical="top" wrapText="1"/>
    </xf>
    <xf numFmtId="0" fontId="14" fillId="6" borderId="28" xfId="0" applyFont="1" applyFill="1" applyBorder="1" applyAlignment="1">
      <alignment horizontal="left" vertical="top" wrapText="1"/>
    </xf>
    <xf numFmtId="0" fontId="14" fillId="6" borderId="21" xfId="0" applyFont="1" applyFill="1" applyBorder="1" applyAlignment="1">
      <alignment horizontal="left" vertical="top" wrapText="1"/>
    </xf>
    <xf numFmtId="0" fontId="0" fillId="4" borderId="33" xfId="0" applyFont="1" applyFill="1" applyBorder="1" applyAlignment="1">
      <alignment horizontal="center"/>
    </xf>
    <xf numFmtId="0" fontId="0" fillId="4" borderId="34" xfId="0" applyFont="1" applyFill="1" applyBorder="1" applyAlignment="1">
      <alignment horizontal="center"/>
    </xf>
    <xf numFmtId="0" fontId="14" fillId="3" borderId="32" xfId="0" applyFont="1" applyFill="1" applyBorder="1" applyAlignment="1">
      <alignment horizontal="left" vertical="top" wrapText="1"/>
    </xf>
    <xf numFmtId="0" fontId="14" fillId="3" borderId="7" xfId="0" applyFont="1" applyFill="1" applyBorder="1" applyAlignment="1">
      <alignment horizontal="left" vertical="top" wrapText="1"/>
    </xf>
    <xf numFmtId="0" fontId="14" fillId="3" borderId="33" xfId="0" applyFont="1" applyFill="1" applyBorder="1" applyAlignment="1">
      <alignment horizontal="left" vertical="top" wrapText="1"/>
    </xf>
    <xf numFmtId="0" fontId="14" fillId="3" borderId="34" xfId="0" applyFont="1" applyFill="1" applyBorder="1" applyAlignment="1">
      <alignment horizontal="left" vertical="top" wrapText="1"/>
    </xf>
    <xf numFmtId="0" fontId="14" fillId="3" borderId="6" xfId="0" applyFont="1" applyFill="1" applyBorder="1" applyAlignment="1">
      <alignment horizontal="left" vertical="top" wrapText="1"/>
    </xf>
    <xf numFmtId="0" fontId="14" fillId="3" borderId="16" xfId="0" applyFont="1" applyFill="1" applyBorder="1" applyAlignment="1">
      <alignment horizontal="left" vertical="top" wrapText="1"/>
    </xf>
    <xf numFmtId="0" fontId="0" fillId="4" borderId="28" xfId="0" applyFont="1" applyFill="1" applyBorder="1" applyAlignment="1">
      <alignment horizontal="center"/>
    </xf>
    <xf numFmtId="0" fontId="0" fillId="4" borderId="21" xfId="0" applyFont="1" applyFill="1" applyBorder="1" applyAlignment="1">
      <alignment horizontal="center"/>
    </xf>
    <xf numFmtId="0" fontId="0" fillId="6" borderId="33" xfId="0" applyFont="1" applyFill="1" applyBorder="1" applyAlignment="1">
      <alignment horizontal="center"/>
    </xf>
    <xf numFmtId="0" fontId="0" fillId="6" borderId="34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left" vertical="top" wrapText="1"/>
    </xf>
    <xf numFmtId="0" fontId="14" fillId="3" borderId="3" xfId="0" applyFont="1" applyFill="1" applyBorder="1" applyAlignment="1">
      <alignment horizontal="left" vertical="top" wrapText="1"/>
    </xf>
    <xf numFmtId="0" fontId="14" fillId="3" borderId="4" xfId="0" applyFont="1" applyFill="1" applyBorder="1" applyAlignment="1">
      <alignment horizontal="left" vertical="top" wrapText="1"/>
    </xf>
    <xf numFmtId="0" fontId="14" fillId="6" borderId="8" xfId="0" applyFont="1" applyFill="1" applyBorder="1" applyAlignment="1">
      <alignment horizontal="left" vertical="top" wrapText="1"/>
    </xf>
    <xf numFmtId="0" fontId="14" fillId="6" borderId="3" xfId="0" applyFont="1" applyFill="1" applyBorder="1" applyAlignment="1">
      <alignment horizontal="left" vertical="top" wrapText="1"/>
    </xf>
    <xf numFmtId="0" fontId="14" fillId="6" borderId="4" xfId="0" applyFont="1" applyFill="1" applyBorder="1" applyAlignment="1">
      <alignment horizontal="left" vertical="top" wrapText="1"/>
    </xf>
    <xf numFmtId="0" fontId="20" fillId="4" borderId="24" xfId="0" applyFont="1" applyFill="1" applyBorder="1" applyAlignment="1">
      <alignment horizontal="left" vertical="top" wrapText="1"/>
    </xf>
    <xf numFmtId="0" fontId="20" fillId="4" borderId="28" xfId="0" applyFont="1" applyFill="1" applyBorder="1" applyAlignment="1">
      <alignment horizontal="left" vertical="top" wrapText="1"/>
    </xf>
    <xf numFmtId="0" fontId="20" fillId="4" borderId="21" xfId="0" applyFont="1" applyFill="1" applyBorder="1" applyAlignment="1">
      <alignment horizontal="left" vertical="top" wrapText="1"/>
    </xf>
    <xf numFmtId="0" fontId="20" fillId="4" borderId="29" xfId="0" applyFont="1" applyFill="1" applyBorder="1" applyAlignment="1">
      <alignment horizontal="left" vertical="top" wrapText="1"/>
    </xf>
    <xf numFmtId="0" fontId="20" fillId="4" borderId="30" xfId="0" applyFont="1" applyFill="1" applyBorder="1" applyAlignment="1">
      <alignment horizontal="left" vertical="top" wrapText="1"/>
    </xf>
    <xf numFmtId="0" fontId="20" fillId="4" borderId="31" xfId="0" applyFont="1" applyFill="1" applyBorder="1" applyAlignment="1">
      <alignment horizontal="left" vertical="top" wrapText="1"/>
    </xf>
    <xf numFmtId="0" fontId="14" fillId="9" borderId="24" xfId="0" applyFont="1" applyFill="1" applyBorder="1" applyAlignment="1">
      <alignment horizontal="left" vertical="top" wrapText="1"/>
    </xf>
    <xf numFmtId="0" fontId="14" fillId="9" borderId="28" xfId="0" applyFont="1" applyFill="1" applyBorder="1" applyAlignment="1">
      <alignment horizontal="left" vertical="top" wrapText="1"/>
    </xf>
    <xf numFmtId="0" fontId="14" fillId="9" borderId="21" xfId="0" applyFont="1" applyFill="1" applyBorder="1" applyAlignment="1">
      <alignment horizontal="left"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CFFF"/>
      <rgbColor rgb="0069FFFF"/>
      <rgbColor rgb="00E0FFE0"/>
      <rgbColor rgb="00DD9CB3"/>
      <rgbColor rgb="00B38FEE"/>
      <rgbColor rgb="002A6FF9"/>
      <rgbColor rgb="003FB8CD"/>
      <rgbColor rgb="00488436"/>
      <rgbColor rgb="00958C41"/>
      <rgbColor rgb="008E5E42"/>
      <rgbColor rgb="00A0627A"/>
      <rgbColor rgb="00624FAC"/>
      <rgbColor rgb="001D2FBE"/>
      <rgbColor rgb="00286676"/>
      <rgbColor rgb="00004500"/>
      <rgbColor rgb="00453E01"/>
      <rgbColor rgb="006A2813"/>
      <rgbColor rgb="0085396A"/>
      <rgbColor rgb="004A3285"/>
      <rgbColor rgb="00C0DCC0"/>
      <rgbColor rgb="00A6CAF0"/>
      <rgbColor rgb="00800000"/>
      <rgbColor rgb="00008000"/>
      <rgbColor rgb="00000080"/>
      <rgbColor rgb="00808000"/>
      <rgbColor rgb="00800080"/>
      <rgbColor rgb="00008080"/>
      <rgbColor rgb="00808080"/>
      <rgbColor rgb="00FFFBF0"/>
      <rgbColor rgb="00A0A0A4"/>
      <rgbColor rgb="00313900"/>
      <rgbColor rgb="00D9853E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2</xdr:col>
      <xdr:colOff>518349</xdr:colOff>
      <xdr:row>2</xdr:row>
      <xdr:rowOff>0</xdr:rowOff>
    </xdr:to>
    <xdr:sp macro="" textlink="">
      <xdr:nvSpPr>
        <xdr:cNvPr id="1026" name="Текст 2">
          <a:extLst>
            <a:ext uri="{FF2B5EF4-FFF2-40B4-BE49-F238E27FC236}">
              <a16:creationId xmlns:a16="http://schemas.microsoft.com/office/drawing/2014/main" id="{0DD63468-EE56-CEA5-3775-949E13E25C5A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685800" cy="142875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ru-RU" sz="800" b="1" i="0" strike="noStrike">
              <a:solidFill>
                <a:srgbClr val="000000"/>
              </a:solidFill>
              <a:latin typeface="Arial"/>
              <a:cs typeface="Arial"/>
            </a:rPr>
            <a:t>Обновить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://radist.kz/products/Kreplenie-na-bagazhnik-UHF.html" TargetMode="External"/><Relationship Id="rId21" Type="http://schemas.openxmlformats.org/officeDocument/2006/relationships/hyperlink" Target="http://radist.kz/products/AnyTone-AT-518.html" TargetMode="External"/><Relationship Id="rId324" Type="http://schemas.openxmlformats.org/officeDocument/2006/relationships/hyperlink" Target="http://radist.kz/products/qb_38l.html" TargetMode="External"/><Relationship Id="rId531" Type="http://schemas.openxmlformats.org/officeDocument/2006/relationships/hyperlink" Target="https://radist.kz/products/gps_treker_sinotrack_st_907.html" TargetMode="External"/><Relationship Id="rId629" Type="http://schemas.openxmlformats.org/officeDocument/2006/relationships/hyperlink" Target="https://radist.kz/products/garnitura_earphonic_er02dp28sb6_k_dlya_nosimykh_ratsiy_s_interfeysom_2_pin_k1.html" TargetMode="External"/><Relationship Id="rId170" Type="http://schemas.openxmlformats.org/officeDocument/2006/relationships/hyperlink" Target="http://radist.kz/products/Konnektor-PL259-pod-payku.html" TargetMode="External"/><Relationship Id="rId268" Type="http://schemas.openxmlformats.org/officeDocument/2006/relationships/hyperlink" Target="http://radist.kz/products/OM-88LNF.html" TargetMode="External"/><Relationship Id="rId475" Type="http://schemas.openxmlformats.org/officeDocument/2006/relationships/hyperlink" Target="https://radist.kz/products/preobrazovatel_napryazheniya_24_220v_hp_2500_2500_5000_va.html" TargetMode="External"/><Relationship Id="rId32" Type="http://schemas.openxmlformats.org/officeDocument/2006/relationships/hyperlink" Target="http://radist.kz/products/AnyTone-AT-298-V.html" TargetMode="External"/><Relationship Id="rId128" Type="http://schemas.openxmlformats.org/officeDocument/2006/relationships/hyperlink" Target="http://radist.kz/products/Machta-teleskopicheskaya-MTP-14.html" TargetMode="External"/><Relationship Id="rId335" Type="http://schemas.openxmlformats.org/officeDocument/2006/relationships/hyperlink" Target="http://radist.kz/products/anytone_at_3208plus_v.html" TargetMode="External"/><Relationship Id="rId542" Type="http://schemas.openxmlformats.org/officeDocument/2006/relationships/hyperlink" Target="https://radist.kz/products/ukv_retranslyator_dmr_tsifrovoy_hytera_hr1065.html" TargetMode="External"/><Relationship Id="rId181" Type="http://schemas.openxmlformats.org/officeDocument/2006/relationships/hyperlink" Target="http://radist.kz/products/Konnektor-perekhodnik-SMA-M-UHF-F.html" TargetMode="External"/><Relationship Id="rId402" Type="http://schemas.openxmlformats.org/officeDocument/2006/relationships/hyperlink" Target="http://radist.kz/products/magnitnoe_osnovanie_sirio_mag_125pl.html" TargetMode="External"/><Relationship Id="rId279" Type="http://schemas.openxmlformats.org/officeDocument/2006/relationships/hyperlink" Target="http://radist.kz/products/PA-F78OD.html" TargetMode="External"/><Relationship Id="rId486" Type="http://schemas.openxmlformats.org/officeDocument/2006/relationships/hyperlink" Target="https://radist.kz/products/invertor_avtomobilnyy_24_220v_hps_300_300_900vatt.html" TargetMode="External"/><Relationship Id="rId43" Type="http://schemas.openxmlformats.org/officeDocument/2006/relationships/hyperlink" Target="http://radist.kz/products/AnyTone-AT-289P-U.html" TargetMode="External"/><Relationship Id="rId139" Type="http://schemas.openxmlformats.org/officeDocument/2006/relationships/hyperlink" Target="http://radist.kz/products/MiWi-S-35-5.html" TargetMode="External"/><Relationship Id="rId346" Type="http://schemas.openxmlformats.org/officeDocument/2006/relationships/hyperlink" Target="http://radist.kz/products/blok_pitaniya_miwi_sp_320_13_5.html" TargetMode="External"/><Relationship Id="rId553" Type="http://schemas.openxmlformats.org/officeDocument/2006/relationships/hyperlink" Target="https://radist.kz/products/garnitura_er01_dlya_ratsii_starnet_s_400.html" TargetMode="External"/><Relationship Id="rId192" Type="http://schemas.openxmlformats.org/officeDocument/2006/relationships/hyperlink" Target="http://radist.kz/products/Otvetvitel-moshchnosti-QX-015B-15dB.html" TargetMode="External"/><Relationship Id="rId206" Type="http://schemas.openxmlformats.org/officeDocument/2006/relationships/hyperlink" Target="http://radist.kz/products/Kreplenie-na-zerkalo-ili-machtu-AC-504X.html" TargetMode="External"/><Relationship Id="rId413" Type="http://schemas.openxmlformats.org/officeDocument/2006/relationships/hyperlink" Target="https://radist.kz/products/antennyy_analizator_rigexpert_aa_30_zero.html" TargetMode="External"/><Relationship Id="rId497" Type="http://schemas.openxmlformats.org/officeDocument/2006/relationships/hyperlink" Target="https://radist.kz/products/vch_razem_bnc_m_dlya_kabelya_rg_58_pod_obzhim.html" TargetMode="External"/><Relationship Id="rId620" Type="http://schemas.openxmlformats.org/officeDocument/2006/relationships/hyperlink" Target="https://radist.kz/products/antennyy_analizator_rigexpert_match.html" TargetMode="External"/><Relationship Id="rId357" Type="http://schemas.openxmlformats.org/officeDocument/2006/relationships/hyperlink" Target="http://radist.kz/products/ratsiya_portativnaya_luiton_lt_316.html" TargetMode="External"/><Relationship Id="rId54" Type="http://schemas.openxmlformats.org/officeDocument/2006/relationships/hyperlink" Target="http://radist.kz/products/AnyTone-AT-700.html" TargetMode="External"/><Relationship Id="rId217" Type="http://schemas.openxmlformats.org/officeDocument/2006/relationships/hyperlink" Target="http://radist.kz/products/Garnitura-s-vynosnoy-knopkoy-EAR-628.html" TargetMode="External"/><Relationship Id="rId564" Type="http://schemas.openxmlformats.org/officeDocument/2006/relationships/hyperlink" Target="https://radist.kz/products/antenna_petra_broad_band_75_2g_3g_4g_wifi.html" TargetMode="External"/><Relationship Id="rId424" Type="http://schemas.openxmlformats.org/officeDocument/2006/relationships/hyperlink" Target="https://radist.kz/products/zaryadnoe_ustroystvo_abc_1210d_12v_10a.html" TargetMode="External"/><Relationship Id="rId631" Type="http://schemas.openxmlformats.org/officeDocument/2006/relationships/hyperlink" Target="https://radist.kz/products/antennyy_analizator_rigexpert_stick_pro.html" TargetMode="External"/><Relationship Id="rId270" Type="http://schemas.openxmlformats.org/officeDocument/2006/relationships/hyperlink" Target="http://radist.kz/products/ANT-V2.html" TargetMode="External"/><Relationship Id="rId65" Type="http://schemas.openxmlformats.org/officeDocument/2006/relationships/hyperlink" Target="http://radist.kz/products/AnyTone-AT-6200D.html" TargetMode="External"/><Relationship Id="rId130" Type="http://schemas.openxmlformats.org/officeDocument/2006/relationships/hyperlink" Target="http://radist.kz/products/Machta-antennaya-M30D2-3-metra.html" TargetMode="External"/><Relationship Id="rId368" Type="http://schemas.openxmlformats.org/officeDocument/2006/relationships/hyperlink" Target="http://radist.kz/products/Kreplenie-na-bagazhnik-NMO.html" TargetMode="External"/><Relationship Id="rId575" Type="http://schemas.openxmlformats.org/officeDocument/2006/relationships/hyperlink" Target="https://radist.kz/products/vika_1_1_800_2700f_mimo_setchataya_razbornaya_parabolicheskaya_shirokopolosnaya_antenna_lte800_lte90.html" TargetMode="External"/><Relationship Id="rId228" Type="http://schemas.openxmlformats.org/officeDocument/2006/relationships/hyperlink" Target="http://radist.kz/products/Garnitura-skrytogo-nosheniya-AC-002-s-prozrachnym-vozdukhovodom.html" TargetMode="External"/><Relationship Id="rId435" Type="http://schemas.openxmlformats.org/officeDocument/2006/relationships/hyperlink" Target="https://radist.kz/products/statsionarnyy_gsm_telefon_termit_fixphone_v2_rev_4.html" TargetMode="External"/><Relationship Id="rId281" Type="http://schemas.openxmlformats.org/officeDocument/2006/relationships/hyperlink" Target="http://radist.kz/products/AX-2008R-Vsenapravlennaya-antenna-3G.html" TargetMode="External"/><Relationship Id="rId502" Type="http://schemas.openxmlformats.org/officeDocument/2006/relationships/hyperlink" Target="https://radist.kz/products/vch_razem_sma_female_dlya_kabelya_rg_58_pod_obzhim.html" TargetMode="External"/><Relationship Id="rId76" Type="http://schemas.openxmlformats.org/officeDocument/2006/relationships/hyperlink" Target="http://radist.kz/products/AnyTone-AT-408.html" TargetMode="External"/><Relationship Id="rId141" Type="http://schemas.openxmlformats.org/officeDocument/2006/relationships/hyperlink" Target="http://radist.kz/products/MiWi-S-60-5.html" TargetMode="External"/><Relationship Id="rId379" Type="http://schemas.openxmlformats.org/officeDocument/2006/relationships/hyperlink" Target="http://radist.kz/products/Garnitura-dlya-radiostantsiy.html" TargetMode="External"/><Relationship Id="rId586" Type="http://schemas.openxmlformats.org/officeDocument/2006/relationships/hyperlink" Target="https://radist.kz/products/gibkaya_antenna_dlya_quesum_md10_100.html" TargetMode="External"/><Relationship Id="rId7" Type="http://schemas.openxmlformats.org/officeDocument/2006/relationships/hyperlink" Target="http://radist.kz/products/Yosan-CB-350.html" TargetMode="External"/><Relationship Id="rId239" Type="http://schemas.openxmlformats.org/officeDocument/2006/relationships/hyperlink" Target="http://radist.kz/products/SHtyr-s-krepleniem-NMO-dlya-antenny-DB-1410VHF.html" TargetMode="External"/><Relationship Id="rId446" Type="http://schemas.openxmlformats.org/officeDocument/2006/relationships/hyperlink" Target="https://radist.kz/products/podavitel_svyazi_jyt_1260_portativnyy.html" TargetMode="External"/><Relationship Id="rId292" Type="http://schemas.openxmlformats.org/officeDocument/2006/relationships/hyperlink" Target="http://radist.kz/products/DBM-1410UHF.html" TargetMode="External"/><Relationship Id="rId306" Type="http://schemas.openxmlformats.org/officeDocument/2006/relationships/hyperlink" Target="http://radist.kz/products/CB-59.html" TargetMode="External"/><Relationship Id="rId87" Type="http://schemas.openxmlformats.org/officeDocument/2006/relationships/hyperlink" Target="http://radist.kz/products/RM-KL-203R.html" TargetMode="External"/><Relationship Id="rId513" Type="http://schemas.openxmlformats.org/officeDocument/2006/relationships/hyperlink" Target="https://radist.kz/products/ax_offset_d60_reflektor_setchatyy_ofsetnyy_60sm_lte800_gsm900_lte1800_lte2100_umts2100_lte2600_5g.html" TargetMode="External"/><Relationship Id="rId597" Type="http://schemas.openxmlformats.org/officeDocument/2006/relationships/hyperlink" Target="https://radist.kz/products/kabel_koaksialnyy_5d_fb.html" TargetMode="External"/><Relationship Id="rId152" Type="http://schemas.openxmlformats.org/officeDocument/2006/relationships/hyperlink" Target="http://radist.kz/products/Nissei-RX-103.html" TargetMode="External"/><Relationship Id="rId457" Type="http://schemas.openxmlformats.org/officeDocument/2006/relationships/hyperlink" Target="https://radist.kz/products/akkumulyator_qb_44l_dlya_anytone_at_d858_868_868uv.html" TargetMode="External"/><Relationship Id="rId14" Type="http://schemas.openxmlformats.org/officeDocument/2006/relationships/hyperlink" Target="http://radist.kz/products/AnyTone-AT-5555.html" TargetMode="External"/><Relationship Id="rId317" Type="http://schemas.openxmlformats.org/officeDocument/2006/relationships/hyperlink" Target="http://radist.kz/products/Sirio-T3-27-MAG.html" TargetMode="External"/><Relationship Id="rId524" Type="http://schemas.openxmlformats.org/officeDocument/2006/relationships/hyperlink" Target="https://radist.kz/products/dinamik_vynosnoy_es_606.html" TargetMode="External"/><Relationship Id="rId98" Type="http://schemas.openxmlformats.org/officeDocument/2006/relationships/hyperlink" Target="http://radist.kz/products/RM-KL-800.html" TargetMode="External"/><Relationship Id="rId163" Type="http://schemas.openxmlformats.org/officeDocument/2006/relationships/hyperlink" Target="http://radist.kz/products/QB-28L.html" TargetMode="External"/><Relationship Id="rId370" Type="http://schemas.openxmlformats.org/officeDocument/2006/relationships/hyperlink" Target="http://radist.kz/products/kabel_nmo_4_metra_s_razemom_uhf.html" TargetMode="External"/><Relationship Id="rId230" Type="http://schemas.openxmlformats.org/officeDocument/2006/relationships/hyperlink" Target="http://radist.kz/products/Garnitura-JC200-300.html" TargetMode="External"/><Relationship Id="rId468" Type="http://schemas.openxmlformats.org/officeDocument/2006/relationships/hyperlink" Target="https://radist.kz/products/ratsiya_avtomobilnaya_president_barry_asc.html" TargetMode="External"/><Relationship Id="rId25" Type="http://schemas.openxmlformats.org/officeDocument/2006/relationships/hyperlink" Target="http://radist.kz/products/AnyTone-AT-3218G.html" TargetMode="External"/><Relationship Id="rId328" Type="http://schemas.openxmlformats.org/officeDocument/2006/relationships/hyperlink" Target="http://radist.kz/products/akkumulyator_dlya_tg_a8.html" TargetMode="External"/><Relationship Id="rId535" Type="http://schemas.openxmlformats.org/officeDocument/2006/relationships/hyperlink" Target="https://radist.kz/products/magnita_1_universalnaya_antenna_4g_3g_2g_wifi_na_magnite.html" TargetMode="External"/><Relationship Id="rId174" Type="http://schemas.openxmlformats.org/officeDocument/2006/relationships/hyperlink" Target="http://radist.kz/products/Konnektor-perekhodnik-BNC-M-N-F.html" TargetMode="External"/><Relationship Id="rId381" Type="http://schemas.openxmlformats.org/officeDocument/2006/relationships/hyperlink" Target="http://radist.kz/products/antennyy_analizator_nissei_ns_520a.html" TargetMode="External"/><Relationship Id="rId602" Type="http://schemas.openxmlformats.org/officeDocument/2006/relationships/hyperlink" Target="https://radist.kz/products/ratsiya_portativnaya_anytone_v10.html" TargetMode="External"/><Relationship Id="rId241" Type="http://schemas.openxmlformats.org/officeDocument/2006/relationships/hyperlink" Target="http://radist.kz/products/Gibkaya-antenna-dlya-radiostantsii-Quansheng-TG-1680.html" TargetMode="External"/><Relationship Id="rId479" Type="http://schemas.openxmlformats.org/officeDocument/2006/relationships/hyperlink" Target="https://radist.kz/products/ratsiya_tsifrovaya_baofeng_dm_v1.html" TargetMode="External"/><Relationship Id="rId36" Type="http://schemas.openxmlformats.org/officeDocument/2006/relationships/hyperlink" Target="http://radist.kz/products/Quansheng-TG-1680-V.html" TargetMode="External"/><Relationship Id="rId339" Type="http://schemas.openxmlformats.org/officeDocument/2006/relationships/hyperlink" Target="http://radist.kz/products/ukv_retranslyator_anytone_at_7188.html" TargetMode="External"/><Relationship Id="rId546" Type="http://schemas.openxmlformats.org/officeDocument/2006/relationships/hyperlink" Target="https://radist.kz/products/shtyr_dlya_antenny_1_8kh3kh1400_mm.html" TargetMode="External"/><Relationship Id="rId101" Type="http://schemas.openxmlformats.org/officeDocument/2006/relationships/hyperlink" Target="http://radist.kz/products/APS-1220.html" TargetMode="External"/><Relationship Id="rId185" Type="http://schemas.openxmlformats.org/officeDocument/2006/relationships/hyperlink" Target="http://radist.kz/products/Zaryadnoe-ustroystvo-stakan-dlya-akkumulyatora-KB-260.html" TargetMode="External"/><Relationship Id="rId406" Type="http://schemas.openxmlformats.org/officeDocument/2006/relationships/hyperlink" Target="http://radist.kz/products/Termit-FixPhone-v2.html" TargetMode="External"/><Relationship Id="rId9" Type="http://schemas.openxmlformats.org/officeDocument/2006/relationships/hyperlink" Target="http://radist.kz/products/AnyTone-Apollo-I.html" TargetMode="External"/><Relationship Id="rId210" Type="http://schemas.openxmlformats.org/officeDocument/2006/relationships/hyperlink" Target="http://radist.kz/products/Kreplenie-universalnoe-MT-3203.html" TargetMode="External"/><Relationship Id="rId392" Type="http://schemas.openxmlformats.org/officeDocument/2006/relationships/hyperlink" Target="http://radist.kz/products/antenna_avtomobilnaya_438u_sd90_430.html" TargetMode="External"/><Relationship Id="rId448" Type="http://schemas.openxmlformats.org/officeDocument/2006/relationships/hyperlink" Target="https://radist.kz/products/podavitel_svyazi_jyt_1800.html" TargetMode="External"/><Relationship Id="rId613" Type="http://schemas.openxmlformats.org/officeDocument/2006/relationships/hyperlink" Target="https://radist.kz/products/garnitura_kme_k5cct_e_dlya_poc_ratsiy_kirisun_t60_t65_versiya_s_2xsim.html" TargetMode="External"/><Relationship Id="rId252" Type="http://schemas.openxmlformats.org/officeDocument/2006/relationships/hyperlink" Target="http://radist.kz/products/SHtyr-1-6-metra-dlya-SV2309-2315-145-Sirio-Super-9.html" TargetMode="External"/><Relationship Id="rId294" Type="http://schemas.openxmlformats.org/officeDocument/2006/relationships/hyperlink" Target="http://radist.kz/products/Hustler-RUM-150.html" TargetMode="External"/><Relationship Id="rId308" Type="http://schemas.openxmlformats.org/officeDocument/2006/relationships/hyperlink" Target="http://radist.kz/products/Hustler-1C-100.html" TargetMode="External"/><Relationship Id="rId515" Type="http://schemas.openxmlformats.org/officeDocument/2006/relationships/hyperlink" Target="https://radist.kz/products/nitsa_1_potolochnaya_antenna_diapazonov_gsm_wi_fi_3g_4g.html" TargetMode="External"/><Relationship Id="rId47" Type="http://schemas.openxmlformats.org/officeDocument/2006/relationships/hyperlink" Target="http://radist.kz/products/AnyTone-ST-118.html" TargetMode="External"/><Relationship Id="rId89" Type="http://schemas.openxmlformats.org/officeDocument/2006/relationships/hyperlink" Target="http://radist.kz/products/RM-LA-144.html" TargetMode="External"/><Relationship Id="rId112" Type="http://schemas.openxmlformats.org/officeDocument/2006/relationships/hyperlink" Target="http://radist.kz/products/RM-RTG25-48.html" TargetMode="External"/><Relationship Id="rId154" Type="http://schemas.openxmlformats.org/officeDocument/2006/relationships/hyperlink" Target="http://radist.kz/products/Nissei-RX-403.html" TargetMode="External"/><Relationship Id="rId361" Type="http://schemas.openxmlformats.org/officeDocument/2006/relationships/hyperlink" Target="http://radist.kz/products/ratsiya_portativnaya_luiton_lt_316.html" TargetMode="External"/><Relationship Id="rId557" Type="http://schemas.openxmlformats.org/officeDocument/2006/relationships/hyperlink" Target="https://radist.kz/products/ratsiya_tsifrovaya_quesum_md_100.html" TargetMode="External"/><Relationship Id="rId599" Type="http://schemas.openxmlformats.org/officeDocument/2006/relationships/hyperlink" Target="https://radist.kz/products/ratsiya_avtomobilnaya_starnet_s_700.html" TargetMode="External"/><Relationship Id="rId196" Type="http://schemas.openxmlformats.org/officeDocument/2006/relationships/hyperlink" Target="http://radist.kz/products/Kabel-PC-4-USB.html" TargetMode="External"/><Relationship Id="rId417" Type="http://schemas.openxmlformats.org/officeDocument/2006/relationships/hyperlink" Target="https://radist.kz/products/antennyy_analizator_rigexpert_aa_600.html" TargetMode="External"/><Relationship Id="rId459" Type="http://schemas.openxmlformats.org/officeDocument/2006/relationships/hyperlink" Target="https://radist.kz/products/1din_montazhnyy_nabor_dlya_sv_radiostantsiy_yosan_anytone.html" TargetMode="External"/><Relationship Id="rId624" Type="http://schemas.openxmlformats.org/officeDocument/2006/relationships/hyperlink" Target="https://radist.kz/products/ratsiya_portativnaya_starnet_s_100.html" TargetMode="External"/><Relationship Id="rId16" Type="http://schemas.openxmlformats.org/officeDocument/2006/relationships/hyperlink" Target="http://radist.kz/products/AnyTone-AT-5189-U.html" TargetMode="External"/><Relationship Id="rId221" Type="http://schemas.openxmlformats.org/officeDocument/2006/relationships/hyperlink" Target="http://radist.kz/products/Garnitura-dlya-radiostantsiy-Puxing-PX-2R.html" TargetMode="External"/><Relationship Id="rId263" Type="http://schemas.openxmlformats.org/officeDocument/2006/relationships/hyperlink" Target="http://radist.kz/products/Sirio-GPS27-1-2.html" TargetMode="External"/><Relationship Id="rId319" Type="http://schemas.openxmlformats.org/officeDocument/2006/relationships/hyperlink" Target="http://radist.kz/products/Sirio-Hi-Power-4000.html" TargetMode="External"/><Relationship Id="rId470" Type="http://schemas.openxmlformats.org/officeDocument/2006/relationships/hyperlink" Target="https://radist.kz/products/statsionarnyy_gsm_telefon_termit_fixphone_lte_lite_s_routerom.html" TargetMode="External"/><Relationship Id="rId526" Type="http://schemas.openxmlformats.org/officeDocument/2006/relationships/hyperlink" Target="https://radist.kz/products/antenna_avtomobilnaya_c_129_hawaii_.html" TargetMode="External"/><Relationship Id="rId58" Type="http://schemas.openxmlformats.org/officeDocument/2006/relationships/hyperlink" Target="http://radist.kz/products/AnyTone-AT-4000W.html" TargetMode="External"/><Relationship Id="rId123" Type="http://schemas.openxmlformats.org/officeDocument/2006/relationships/hyperlink" Target="http://radist.kz/products/Machta-teleskopicheskaya-MTP-6S.html" TargetMode="External"/><Relationship Id="rId330" Type="http://schemas.openxmlformats.org/officeDocument/2006/relationships/hyperlink" Target="http://radist.kz/products/gibkaya_antenna_dlya_puxing_px_2r.html" TargetMode="External"/><Relationship Id="rId568" Type="http://schemas.openxmlformats.org/officeDocument/2006/relationships/hyperlink" Target="https://radist.kz/products/umo_3f_mimo_2x2_ofsetnyy_obluchatel_4g_3g.html" TargetMode="External"/><Relationship Id="rId165" Type="http://schemas.openxmlformats.org/officeDocument/2006/relationships/hyperlink" Target="http://radist.kz/products/QB-35L.html" TargetMode="External"/><Relationship Id="rId372" Type="http://schemas.openxmlformats.org/officeDocument/2006/relationships/hyperlink" Target="http://radist.kz/products/antenna_bazovaya_bc_100.html" TargetMode="External"/><Relationship Id="rId428" Type="http://schemas.openxmlformats.org/officeDocument/2006/relationships/hyperlink" Target="https://radist.kz/products/preobrazovatel_napryazheniya_12_220v_hp_2500_2500_5000vatt.html" TargetMode="External"/><Relationship Id="rId635" Type="http://schemas.openxmlformats.org/officeDocument/2006/relationships/printerSettings" Target="../printerSettings/printerSettings1.bin"/><Relationship Id="rId232" Type="http://schemas.openxmlformats.org/officeDocument/2006/relationships/hyperlink" Target="http://radist.kz/products/Garnitura-Excalibur-Trucker.html" TargetMode="External"/><Relationship Id="rId274" Type="http://schemas.openxmlformats.org/officeDocument/2006/relationships/hyperlink" Target="http://radist.kz/products/QX-005B.html" TargetMode="External"/><Relationship Id="rId481" Type="http://schemas.openxmlformats.org/officeDocument/2006/relationships/hyperlink" Target="http://radist.kz/products/ratsiya_portativnaya_luiton_lt_316.html" TargetMode="External"/><Relationship Id="rId27" Type="http://schemas.openxmlformats.org/officeDocument/2006/relationships/hyperlink" Target="http://radist.kz/products/Baofeng-UV-5R-Pro.html" TargetMode="External"/><Relationship Id="rId69" Type="http://schemas.openxmlformats.org/officeDocument/2006/relationships/hyperlink" Target="http://radist.kz/products/AnyTone-AT-6100GW.html" TargetMode="External"/><Relationship Id="rId134" Type="http://schemas.openxmlformats.org/officeDocument/2006/relationships/hyperlink" Target="http://radist.kz/products/Machta-alyuminievaya-MA-10.html" TargetMode="External"/><Relationship Id="rId537" Type="http://schemas.openxmlformats.org/officeDocument/2006/relationships/hyperlink" Target="http://radist.kz/products/ratsiya_avtomobilnaya_anytone_at_778_v.html" TargetMode="External"/><Relationship Id="rId579" Type="http://schemas.openxmlformats.org/officeDocument/2006/relationships/hyperlink" Target="https://radist.kz/products/antenna_naruzhnaya_3g_4g_5g_bas_2346_flat_mimo.html" TargetMode="External"/><Relationship Id="rId80" Type="http://schemas.openxmlformats.org/officeDocument/2006/relationships/hyperlink" Target="http://radist.kz/products/LMR-400.html" TargetMode="External"/><Relationship Id="rId176" Type="http://schemas.openxmlformats.org/officeDocument/2006/relationships/hyperlink" Target="http://radist.kz/products/Konnektor-perekhodnik-N-M-N-M.html" TargetMode="External"/><Relationship Id="rId341" Type="http://schemas.openxmlformats.org/officeDocument/2006/relationships/hyperlink" Target="http://radist.kz/products/ratsiya_avtomobilnaya_leixen_uv_25hx.html" TargetMode="External"/><Relationship Id="rId383" Type="http://schemas.openxmlformats.org/officeDocument/2006/relationships/hyperlink" Target="http://radist.kz/products/ratsiya_avtomobilnaya_anytone_at_778_u.html" TargetMode="External"/><Relationship Id="rId439" Type="http://schemas.openxmlformats.org/officeDocument/2006/relationships/hyperlink" Target="https://radist.kz/products/sdn_1_nmo_avtomobilnaya_antenna_136_520mhz_na_magnitnom_osnovanii_.html" TargetMode="External"/><Relationship Id="rId590" Type="http://schemas.openxmlformats.org/officeDocument/2006/relationships/hyperlink" Target="https://radist.kz/products/izmeritel_ksv_i_moshchnosti_nissei_dg_503_max.html" TargetMode="External"/><Relationship Id="rId604" Type="http://schemas.openxmlformats.org/officeDocument/2006/relationships/hyperlink" Target="https://radist.kz/products/sirio_sdb_270_black_avtomobilnaya_dvukhdiapazonnaya_vreznaya_antenna_137_152_415_455_mgts.html" TargetMode="External"/><Relationship Id="rId201" Type="http://schemas.openxmlformats.org/officeDocument/2006/relationships/hyperlink" Target="http://radist.kz/products/Kreplenie-pod-uzkiy-reling-AC-04CHEV.html" TargetMode="External"/><Relationship Id="rId243" Type="http://schemas.openxmlformats.org/officeDocument/2006/relationships/hyperlink" Target="http://radist.kz/products/Gibkaya-antenna-dlya-radiostantsii-AnyTone-AT-288-AT-289-AT-289P.html" TargetMode="External"/><Relationship Id="rId285" Type="http://schemas.openxmlformats.org/officeDocument/2006/relationships/hyperlink" Target="http://radist.kz/products/DB-86D.html" TargetMode="External"/><Relationship Id="rId450" Type="http://schemas.openxmlformats.org/officeDocument/2006/relationships/hyperlink" Target="https://radist.kz/products/duplekser_sgq_450_400_480mgts_30vt_.html" TargetMode="External"/><Relationship Id="rId506" Type="http://schemas.openxmlformats.org/officeDocument/2006/relationships/hyperlink" Target="https://radist.kz/products/ax_1817y_napravlennaya_antenna_tipa_yagi_gsm_1800.html" TargetMode="External"/><Relationship Id="rId38" Type="http://schemas.openxmlformats.org/officeDocument/2006/relationships/hyperlink" Target="http://radist.kz/products/ALINCO-DJ-A41.html" TargetMode="External"/><Relationship Id="rId103" Type="http://schemas.openxmlformats.org/officeDocument/2006/relationships/hyperlink" Target="http://radist.kz/products/RM-SPS1050S.html" TargetMode="External"/><Relationship Id="rId310" Type="http://schemas.openxmlformats.org/officeDocument/2006/relationships/hyperlink" Target="http://radist.kz/products/Sirio-NEW-DELTA-27-M-95.html" TargetMode="External"/><Relationship Id="rId492" Type="http://schemas.openxmlformats.org/officeDocument/2006/relationships/hyperlink" Target="https://radist.kz/products/4g_wifi_router_starnet_4g_cpe.html" TargetMode="External"/><Relationship Id="rId548" Type="http://schemas.openxmlformats.org/officeDocument/2006/relationships/hyperlink" Target="https://radist.kz/products/ratsiya_portativnaya_starnet_s_400.html" TargetMode="External"/><Relationship Id="rId91" Type="http://schemas.openxmlformats.org/officeDocument/2006/relationships/hyperlink" Target="http://radist.kz/products/RM-LA-145.html" TargetMode="External"/><Relationship Id="rId145" Type="http://schemas.openxmlformats.org/officeDocument/2006/relationships/hyperlink" Target="http://radist.kz/products/MiWi-S-201-12.html" TargetMode="External"/><Relationship Id="rId187" Type="http://schemas.openxmlformats.org/officeDocument/2006/relationships/hyperlink" Target="http://radist.kz/products/Gruppovoe-zaryadnoe-ustroystvo-na-8-batarey-QX-025BC.html" TargetMode="External"/><Relationship Id="rId352" Type="http://schemas.openxmlformats.org/officeDocument/2006/relationships/hyperlink" Target="http://radist.kz/products/Splitter-QX-010B.html" TargetMode="External"/><Relationship Id="rId394" Type="http://schemas.openxmlformats.org/officeDocument/2006/relationships/hyperlink" Target="http://radist.kz/products/antenna_avtomobilnaya_438v_sd90_167.html" TargetMode="External"/><Relationship Id="rId408" Type="http://schemas.openxmlformats.org/officeDocument/2006/relationships/hyperlink" Target="https://radist.kz/products/kabelnaya_sborka_n_male_rg_58_2m_sma_male.html" TargetMode="External"/><Relationship Id="rId615" Type="http://schemas.openxmlformats.org/officeDocument/2006/relationships/hyperlink" Target="https://radist.kz/products/garnitura_kme_k5cat_b_dlya_poc_ratsiy_kirisun_t60_t65_versiya_s_2xsim.html" TargetMode="External"/><Relationship Id="rId212" Type="http://schemas.openxmlformats.org/officeDocument/2006/relationships/hyperlink" Target="http://radist.kz/products/Antennyy-razvetvitel-MIX-27.html" TargetMode="External"/><Relationship Id="rId254" Type="http://schemas.openxmlformats.org/officeDocument/2006/relationships/hyperlink" Target="http://radist.kz/products/Gibkaya-antenna-dlya-radiostantsii-AnyTone-ST-118.html" TargetMode="External"/><Relationship Id="rId49" Type="http://schemas.openxmlformats.org/officeDocument/2006/relationships/hyperlink" Target="http://radist.kz/products/AnyTone-AT-400.html" TargetMode="External"/><Relationship Id="rId114" Type="http://schemas.openxmlformats.org/officeDocument/2006/relationships/hyperlink" Target="http://radist.kz/products/Pitgeyl-dlya-USB-3G-4G-modemov-Huawei-SMA-fem-CRC9-uglovoy-.html" TargetMode="External"/><Relationship Id="rId296" Type="http://schemas.openxmlformats.org/officeDocument/2006/relationships/hyperlink" Target="http://radist.kz/products/DB-1208.html" TargetMode="External"/><Relationship Id="rId461" Type="http://schemas.openxmlformats.org/officeDocument/2006/relationships/hyperlink" Target="https://radist.kz/products/ratsiya_avtomobilnaya_lafayette_trucker_pro.html" TargetMode="External"/><Relationship Id="rId517" Type="http://schemas.openxmlformats.org/officeDocument/2006/relationships/hyperlink" Target="http://radist.kz/products/ratsiya_s_sim_kartoy_puxing_px_840s.html" TargetMode="External"/><Relationship Id="rId559" Type="http://schemas.openxmlformats.org/officeDocument/2006/relationships/hyperlink" Target="https://radist.kz/products/polosovoy_filtr_vhf_diapazona_lbq_150_.html" TargetMode="External"/><Relationship Id="rId60" Type="http://schemas.openxmlformats.org/officeDocument/2006/relationships/hyperlink" Target="http://radist.kz/products/Nextivity-Cel-Fi-RS2-Dual.html" TargetMode="External"/><Relationship Id="rId156" Type="http://schemas.openxmlformats.org/officeDocument/2006/relationships/hyperlink" Target="http://radist.kz/products/Ekvivalent-nagruzki-0-3GGts-100Vt.html" TargetMode="External"/><Relationship Id="rId198" Type="http://schemas.openxmlformats.org/officeDocument/2006/relationships/hyperlink" Target="http://radist.kz/products/Kabel-PC-2-USB.html" TargetMode="External"/><Relationship Id="rId321" Type="http://schemas.openxmlformats.org/officeDocument/2006/relationships/hyperlink" Target="http://radist.kz/products/CB-2307.html" TargetMode="External"/><Relationship Id="rId363" Type="http://schemas.openxmlformats.org/officeDocument/2006/relationships/hyperlink" Target="http://radist.kz/products/antenna_bazovaya_sirio_sd_fm_dipol.html" TargetMode="External"/><Relationship Id="rId419" Type="http://schemas.openxmlformats.org/officeDocument/2006/relationships/hyperlink" Target="https://radist.kz/products/antenna_avtomobilnaya_sd_t3_27_mag.html" TargetMode="External"/><Relationship Id="rId570" Type="http://schemas.openxmlformats.org/officeDocument/2006/relationships/hyperlink" Target="https://radist.kz/products/antenna_nitsa_5f_mimo_2x2_800_900_1800_2100_wifi_2600.html" TargetMode="External"/><Relationship Id="rId626" Type="http://schemas.openxmlformats.org/officeDocument/2006/relationships/hyperlink" Target="https://radist.kz/products/garnitura_earphonic_er03dplb16_k_dlya_nosimykh_ratsiy_s_interfeysom_2_pin_k1.html" TargetMode="External"/><Relationship Id="rId223" Type="http://schemas.openxmlformats.org/officeDocument/2006/relationships/hyperlink" Target="http://radist.kz/products/Garnitura-skrytogo-nosheniya-EP68-P12K1.html" TargetMode="External"/><Relationship Id="rId430" Type="http://schemas.openxmlformats.org/officeDocument/2006/relationships/hyperlink" Target="https://radist.kz/products/ratsiya_portativnaya_luiton_lt_199h.html" TargetMode="External"/><Relationship Id="rId18" Type="http://schemas.openxmlformats.org/officeDocument/2006/relationships/hyperlink" Target="http://radist.kz/products/AnyTone-AT-588UV.html" TargetMode="External"/><Relationship Id="rId265" Type="http://schemas.openxmlformats.org/officeDocument/2006/relationships/hyperlink" Target="http://radist.kz/products/Sirio-Tornado-27-NEW.html" TargetMode="External"/><Relationship Id="rId472" Type="http://schemas.openxmlformats.org/officeDocument/2006/relationships/hyperlink" Target="https://radist.kz/products/preobrazovatel_napryazheniya_12_220v_hp_600_600_1500vatt.html" TargetMode="External"/><Relationship Id="rId528" Type="http://schemas.openxmlformats.org/officeDocument/2006/relationships/hyperlink" Target="https://radist.kz/products/ratsiya_avtomobilnaya_anytone_at_500m.html" TargetMode="External"/><Relationship Id="rId125" Type="http://schemas.openxmlformats.org/officeDocument/2006/relationships/hyperlink" Target="http://radist.kz/products/Machta-teleskopicheskaya-MTP-8.html" TargetMode="External"/><Relationship Id="rId167" Type="http://schemas.openxmlformats.org/officeDocument/2006/relationships/hyperlink" Target="http://radist.kz/products/TG-1680.html" TargetMode="External"/><Relationship Id="rId332" Type="http://schemas.openxmlformats.org/officeDocument/2006/relationships/hyperlink" Target="http://radist.kz/products/rg_6_f660bv.html" TargetMode="External"/><Relationship Id="rId374" Type="http://schemas.openxmlformats.org/officeDocument/2006/relationships/hyperlink" Target="http://radist.kz/products/antenna_bazovaya_bc_200.html" TargetMode="External"/><Relationship Id="rId581" Type="http://schemas.openxmlformats.org/officeDocument/2006/relationships/hyperlink" Target="https://radist.kz/products/ax_offset_d90_reflektor_setchatyy_ofsetnyy_90sm_lte800_gsm900_lte1800_lte2100_umts2100_lte2600_5g.html" TargetMode="External"/><Relationship Id="rId71" Type="http://schemas.openxmlformats.org/officeDocument/2006/relationships/hyperlink" Target="http://radist.kz/products/ClearCast-SGD-5055.html" TargetMode="External"/><Relationship Id="rId234" Type="http://schemas.openxmlformats.org/officeDocument/2006/relationships/hyperlink" Target="http://radist.kz/products/Garnitura-dlya-radiostantsii-AnyTone-AT-5189.html" TargetMode="External"/><Relationship Id="rId2" Type="http://schemas.openxmlformats.org/officeDocument/2006/relationships/hyperlink" Target="http://radist.kz/products/Yosan-JC-300Plus.html" TargetMode="External"/><Relationship Id="rId29" Type="http://schemas.openxmlformats.org/officeDocument/2006/relationships/hyperlink" Target="http://radist.kz/products/NUKER-AnyTone-AT-3308.html" TargetMode="External"/><Relationship Id="rId276" Type="http://schemas.openxmlformats.org/officeDocument/2006/relationships/hyperlink" Target="http://radist.kz/products/IA-F3.html" TargetMode="External"/><Relationship Id="rId441" Type="http://schemas.openxmlformats.org/officeDocument/2006/relationships/hyperlink" Target="https://radist.kz/products/sd_mrf120c_uf_bazovaya_antenna_420_470mhz_.html" TargetMode="External"/><Relationship Id="rId483" Type="http://schemas.openxmlformats.org/officeDocument/2006/relationships/hyperlink" Target="https://radist.kz/products/ratsiya_tsifrovaya_baofeng_dm_1701.html" TargetMode="External"/><Relationship Id="rId539" Type="http://schemas.openxmlformats.org/officeDocument/2006/relationships/hyperlink" Target="https://radist.kz/products/ratsiya_portativnaya_anytone_at_d878uv.html" TargetMode="External"/><Relationship Id="rId40" Type="http://schemas.openxmlformats.org/officeDocument/2006/relationships/hyperlink" Target="http://radist.kz/products/AnyTone-AT-288-U.html" TargetMode="External"/><Relationship Id="rId136" Type="http://schemas.openxmlformats.org/officeDocument/2006/relationships/hyperlink" Target="http://radist.kz/products/Kronshteyn-Skarabey-S-obraznyy-0-5-m.html" TargetMode="External"/><Relationship Id="rId178" Type="http://schemas.openxmlformats.org/officeDocument/2006/relationships/hyperlink" Target="http://radist.kz/products/Konnektor-perekhodnik-SMA-M-N-F.html" TargetMode="External"/><Relationship Id="rId301" Type="http://schemas.openxmlformats.org/officeDocument/2006/relationships/hyperlink" Target="http://radist.kz/products/QCA-02.html" TargetMode="External"/><Relationship Id="rId343" Type="http://schemas.openxmlformats.org/officeDocument/2006/relationships/hyperlink" Target="http://radist.kz/products/repiter_gsm_signala_anytone_at_800_turbo.html" TargetMode="External"/><Relationship Id="rId550" Type="http://schemas.openxmlformats.org/officeDocument/2006/relationships/hyperlink" Target="https://radist.kz/products/akkumulyator_bc_s200_dlya_r_s_starnet_s_200.html" TargetMode="External"/><Relationship Id="rId82" Type="http://schemas.openxmlformats.org/officeDocument/2006/relationships/hyperlink" Target="http://radist.kz/products/7D-FB.html" TargetMode="External"/><Relationship Id="rId203" Type="http://schemas.openxmlformats.org/officeDocument/2006/relationships/hyperlink" Target="http://radist.kz/products/Kreplenie-dlya-SV2309-2315-145-Sirio-Super-9.html" TargetMode="External"/><Relationship Id="rId385" Type="http://schemas.openxmlformats.org/officeDocument/2006/relationships/hyperlink" Target="http://radist.kz/products/ALINCO-DJ-500-New.html" TargetMode="External"/><Relationship Id="rId592" Type="http://schemas.openxmlformats.org/officeDocument/2006/relationships/hyperlink" Target="https://radist.kz/products/ax_914y_napravlennaya_antenna_tipa_yagi_gsm_900_lte900_14_db.html" TargetMode="External"/><Relationship Id="rId606" Type="http://schemas.openxmlformats.org/officeDocument/2006/relationships/hyperlink" Target="https://radist.kz/products/antena_bazovaya_napravlennaya_sirio_wy_136_4n_136_174_mgts.html" TargetMode="External"/><Relationship Id="rId245" Type="http://schemas.openxmlformats.org/officeDocument/2006/relationships/hyperlink" Target="http://radist.kz/products/Antenna-dlya-radiostantsii-Quansheng-TG-A8.html" TargetMode="External"/><Relationship Id="rId287" Type="http://schemas.openxmlformats.org/officeDocument/2006/relationships/hyperlink" Target="http://radist.kz/products/DB-1348UHF.html" TargetMode="External"/><Relationship Id="rId410" Type="http://schemas.openxmlformats.org/officeDocument/2006/relationships/hyperlink" Target="https://radist.kz/products/blok_pitaniya_rm_sps1012.html" TargetMode="External"/><Relationship Id="rId452" Type="http://schemas.openxmlformats.org/officeDocument/2006/relationships/hyperlink" Target="https://radist.kz/products/duplekser_sgq_450d_400_480mgts_50vt_.html" TargetMode="External"/><Relationship Id="rId494" Type="http://schemas.openxmlformats.org/officeDocument/2006/relationships/hyperlink" Target="https://radist.kz/products/avtomobilnaya_sv_antenna_sirio_performer_2000.html" TargetMode="External"/><Relationship Id="rId508" Type="http://schemas.openxmlformats.org/officeDocument/2006/relationships/hyperlink" Target="https://radist.kz/products/ratsiya_avtomobilnaya_yosan_jc_350.html" TargetMode="External"/><Relationship Id="rId105" Type="http://schemas.openxmlformats.org/officeDocument/2006/relationships/hyperlink" Target="http://radist.kz/products/RM-RT10.html" TargetMode="External"/><Relationship Id="rId147" Type="http://schemas.openxmlformats.org/officeDocument/2006/relationships/hyperlink" Target="http://radist.kz/CHastotometryi.html" TargetMode="External"/><Relationship Id="rId312" Type="http://schemas.openxmlformats.org/officeDocument/2006/relationships/hyperlink" Target="http://radist.kz/products/Sirio-T3-27.html" TargetMode="External"/><Relationship Id="rId354" Type="http://schemas.openxmlformats.org/officeDocument/2006/relationships/hyperlink" Target="http://radist.kz/products/PA-F78ID.html" TargetMode="External"/><Relationship Id="rId51" Type="http://schemas.openxmlformats.org/officeDocument/2006/relationships/hyperlink" Target="http://radist.kz/products/AnyTone-AT-500.html" TargetMode="External"/><Relationship Id="rId93" Type="http://schemas.openxmlformats.org/officeDocument/2006/relationships/hyperlink" Target="http://radist.kz/products/RM-KL-405.html" TargetMode="External"/><Relationship Id="rId189" Type="http://schemas.openxmlformats.org/officeDocument/2006/relationships/hyperlink" Target="http://radist.kz/products/Otvetvitel-moshchnosti-QX-014B-15dB.html" TargetMode="External"/><Relationship Id="rId396" Type="http://schemas.openxmlformats.org/officeDocument/2006/relationships/hyperlink" Target="http://radist.kz/products/antenna_avtomobilnaya_438v_sd90_142.html" TargetMode="External"/><Relationship Id="rId561" Type="http://schemas.openxmlformats.org/officeDocument/2006/relationships/hyperlink" Target="https://radist.kz/products/akkumulyator_dlya_r_s_quesum_md10_md100_7_2v.html" TargetMode="External"/><Relationship Id="rId617" Type="http://schemas.openxmlformats.org/officeDocument/2006/relationships/hyperlink" Target="https://radist.kz/products/chekhol_silikonovyy_dlya_analizatorov_rigexpert_aa_650_1500_2000_3000.html" TargetMode="External"/><Relationship Id="rId214" Type="http://schemas.openxmlformats.org/officeDocument/2006/relationships/hyperlink" Target="http://radist.kz/products/Grozorazryadnik-0-6GGts-50Vt-N-M-N-F-tipa.html" TargetMode="External"/><Relationship Id="rId256" Type="http://schemas.openxmlformats.org/officeDocument/2006/relationships/hyperlink" Target="http://radist.kz/products/TC-901N.html" TargetMode="External"/><Relationship Id="rId298" Type="http://schemas.openxmlformats.org/officeDocument/2006/relationships/hyperlink" Target="http://radist.kz/products/DBV-366W.html" TargetMode="External"/><Relationship Id="rId421" Type="http://schemas.openxmlformats.org/officeDocument/2006/relationships/hyperlink" Target="https://radist.kz/products/antenna_bazovaya_x_50.html" TargetMode="External"/><Relationship Id="rId463" Type="http://schemas.openxmlformats.org/officeDocument/2006/relationships/hyperlink" Target="https://radist.kz/products/mona_unibox_pro_antenna_mimo_s_boksom_dlya_3g_4g_modema_lte800_gsm900_gsm1800_lte1800_umts900_umts21.html" TargetMode="External"/><Relationship Id="rId519" Type="http://schemas.openxmlformats.org/officeDocument/2006/relationships/hyperlink" Target="https://radist.kz/products/garnitura_kme_026_dlya_poc_ratsiy_kirisun_t60_t65.html" TargetMode="External"/><Relationship Id="rId116" Type="http://schemas.openxmlformats.org/officeDocument/2006/relationships/hyperlink" Target="http://radist.kz/products/Kabel-AS-5890.html" TargetMode="External"/><Relationship Id="rId158" Type="http://schemas.openxmlformats.org/officeDocument/2006/relationships/hyperlink" Target="http://radist.kz/products/ES-603.html" TargetMode="External"/><Relationship Id="rId323" Type="http://schemas.openxmlformats.org/officeDocument/2006/relationships/hyperlink" Target="http://radist.kz/products/LEMM-AT-1700.html" TargetMode="External"/><Relationship Id="rId530" Type="http://schemas.openxmlformats.org/officeDocument/2006/relationships/hyperlink" Target="https://radist.kz/products/gps_treker_obd_ii_sinotrack_st_902.html" TargetMode="External"/><Relationship Id="rId20" Type="http://schemas.openxmlformats.org/officeDocument/2006/relationships/hyperlink" Target="http://radist.kz/products/Tushkan.html" TargetMode="External"/><Relationship Id="rId62" Type="http://schemas.openxmlformats.org/officeDocument/2006/relationships/hyperlink" Target="http://radist.kz/products/Komplekt-dlya-usileniya-signala-4G-ALTEL-1.html" TargetMode="External"/><Relationship Id="rId365" Type="http://schemas.openxmlformats.org/officeDocument/2006/relationships/hyperlink" Target="http://radist.kz/products/ratsiya_avtomobilnaya_yosan_jc_2204.html" TargetMode="External"/><Relationship Id="rId572" Type="http://schemas.openxmlformats.org/officeDocument/2006/relationships/hyperlink" Target="https://radist.kz/products/antenna_cifra_9_tv_dvb_t_dvb_t2_.html" TargetMode="External"/><Relationship Id="rId628" Type="http://schemas.openxmlformats.org/officeDocument/2006/relationships/hyperlink" Target="https://radist.kz/products/garnitura_earphonic_er01dp28sb1_k_dlya_nosimykh_ratsiy_s_interfeysom_2_pin_k1.html" TargetMode="External"/><Relationship Id="rId225" Type="http://schemas.openxmlformats.org/officeDocument/2006/relationships/hyperlink" Target="http://radist.kz/products/Garnitura-skrytogo-nosheniya-EP31-P23K1.html" TargetMode="External"/><Relationship Id="rId267" Type="http://schemas.openxmlformats.org/officeDocument/2006/relationships/hyperlink" Target="http://radist.kz/products/Sirio-827.html" TargetMode="External"/><Relationship Id="rId432" Type="http://schemas.openxmlformats.org/officeDocument/2006/relationships/hyperlink" Target="https://radist.kz/products/ratsiya_portativnaya_baofeng_dm_5r_plus_tier_i_ii.html" TargetMode="External"/><Relationship Id="rId474" Type="http://schemas.openxmlformats.org/officeDocument/2006/relationships/hyperlink" Target="https://radist.kz/products/preobrazovatel_napryazheniya_24_220v_hp_600_600_1500_vatt.html" TargetMode="External"/><Relationship Id="rId127" Type="http://schemas.openxmlformats.org/officeDocument/2006/relationships/hyperlink" Target="http://radist.kz/products/Machta-teleskopicheskaya-MTP-12.html" TargetMode="External"/><Relationship Id="rId31" Type="http://schemas.openxmlformats.org/officeDocument/2006/relationships/hyperlink" Target="http://radist.kz/products/Climbmax-EM-9735-V.html" TargetMode="External"/><Relationship Id="rId73" Type="http://schemas.openxmlformats.org/officeDocument/2006/relationships/hyperlink" Target="http://radist.kz/products/AnyTone-AT-6100GD.html" TargetMode="External"/><Relationship Id="rId169" Type="http://schemas.openxmlformats.org/officeDocument/2006/relationships/hyperlink" Target="http://radist.kz/products/Konnektor-PL-259-pod-obzhim.html" TargetMode="External"/><Relationship Id="rId334" Type="http://schemas.openxmlformats.org/officeDocument/2006/relationships/hyperlink" Target="http://radist.kz/products/AnyTone-AT-518-TURBO.html" TargetMode="External"/><Relationship Id="rId376" Type="http://schemas.openxmlformats.org/officeDocument/2006/relationships/hyperlink" Target="http://radist.kz/products/antenna_avtomobilnaya_sd_super_9.html" TargetMode="External"/><Relationship Id="rId541" Type="http://schemas.openxmlformats.org/officeDocument/2006/relationships/hyperlink" Target="https://radist.kz/products/ukv_retranslyator_dmr_tsifrovoy_abell_r_80.html" TargetMode="External"/><Relationship Id="rId583" Type="http://schemas.openxmlformats.org/officeDocument/2006/relationships/hyperlink" Target="https://radist.kz/products/akkumulyator_qb_44hl_3100_mach_dlya_anytone_at_d878uv_plus_d878uv_d868uv.html" TargetMode="External"/><Relationship Id="rId4" Type="http://schemas.openxmlformats.org/officeDocument/2006/relationships/hyperlink" Target="http://radist.kz/products/AnyTone-AT-310M.html" TargetMode="External"/><Relationship Id="rId180" Type="http://schemas.openxmlformats.org/officeDocument/2006/relationships/hyperlink" Target="http://radist.kz/products/Konnektor-perekhodnik-SMA-F-UHF-F.html" TargetMode="External"/><Relationship Id="rId236" Type="http://schemas.openxmlformats.org/officeDocument/2006/relationships/hyperlink" Target="http://radist.kz/products/Nastolnyy-mikrofon-QHM-10.html" TargetMode="External"/><Relationship Id="rId278" Type="http://schemas.openxmlformats.org/officeDocument/2006/relationships/hyperlink" Target="http://radist.kz/products/IA-F46.html" TargetMode="External"/><Relationship Id="rId401" Type="http://schemas.openxmlformats.org/officeDocument/2006/relationships/hyperlink" Target="http://radist.kz/products/nitsa_5_antenna_lte800_gsm900_gsm1800_lte1800_umts900_umts2100_wifi_lte2600.html" TargetMode="External"/><Relationship Id="rId443" Type="http://schemas.openxmlformats.org/officeDocument/2006/relationships/hyperlink" Target="https://radist.kz/products/podavitel_svyazi_jyt_670.html" TargetMode="External"/><Relationship Id="rId303" Type="http://schemas.openxmlformats.org/officeDocument/2006/relationships/hyperlink" Target="http://radist.kz/products/CB-2308.html" TargetMode="External"/><Relationship Id="rId485" Type="http://schemas.openxmlformats.org/officeDocument/2006/relationships/hyperlink" Target="https://radist.kz/products/akkumulyator_dlya_ratsii_baofeng_dm_v1.html" TargetMode="External"/><Relationship Id="rId42" Type="http://schemas.openxmlformats.org/officeDocument/2006/relationships/hyperlink" Target="http://radist.kz/products/AnyTone-AT-289P-V.html" TargetMode="External"/><Relationship Id="rId84" Type="http://schemas.openxmlformats.org/officeDocument/2006/relationships/hyperlink" Target="http://radist.kz/products/RG-214.html" TargetMode="External"/><Relationship Id="rId138" Type="http://schemas.openxmlformats.org/officeDocument/2006/relationships/hyperlink" Target="http://radist.kz/products/MiWi-S-15-5.html" TargetMode="External"/><Relationship Id="rId345" Type="http://schemas.openxmlformats.org/officeDocument/2006/relationships/hyperlink" Target="http://radist.kz/products/QB-27L.html" TargetMode="External"/><Relationship Id="rId387" Type="http://schemas.openxmlformats.org/officeDocument/2006/relationships/hyperlink" Target="http://radist.kz/products/antenna_gsm1800_3g_triada_2135_sota.html" TargetMode="External"/><Relationship Id="rId510" Type="http://schemas.openxmlformats.org/officeDocument/2006/relationships/hyperlink" Target="https://radist.kz/products/4g_cpe_ant_vnutrennyaya_antenna_3dbi_gsm_3g_4g_lte.html" TargetMode="External"/><Relationship Id="rId552" Type="http://schemas.openxmlformats.org/officeDocument/2006/relationships/hyperlink" Target="https://radist.kz/products/garnitura_er03_dlya_ratsii_starnet_s_400.html" TargetMode="External"/><Relationship Id="rId594" Type="http://schemas.openxmlformats.org/officeDocument/2006/relationships/hyperlink" Target="https://radist.kz/products/zaryadnoe_ustroystvo_stakan_dlya_radiostantsii_starnet_s_200.html" TargetMode="External"/><Relationship Id="rId608" Type="http://schemas.openxmlformats.org/officeDocument/2006/relationships/hyperlink" Target="https://radist.kz/products/ratsiya_tsifrovaya_anytone_at_d168uv.html" TargetMode="External"/><Relationship Id="rId191" Type="http://schemas.openxmlformats.org/officeDocument/2006/relationships/hyperlink" Target="http://radist.kz/products/Otvetvitel-moshchnosti-QX-015B-10dB.html" TargetMode="External"/><Relationship Id="rId205" Type="http://schemas.openxmlformats.org/officeDocument/2006/relationships/hyperlink" Target="http://radist.kz/products/Antennoe-kreplenie-MT-100.html" TargetMode="External"/><Relationship Id="rId247" Type="http://schemas.openxmlformats.org/officeDocument/2006/relationships/hyperlink" Target="http://radist.kz/products/Ukorochennaya-antenna-dlya-radiostantsii-Kirisun-PT-260.html" TargetMode="External"/><Relationship Id="rId412" Type="http://schemas.openxmlformats.org/officeDocument/2006/relationships/hyperlink" Target="https://radist.kz/products/kronshteyn_stenovoy_ks_120.html" TargetMode="External"/><Relationship Id="rId107" Type="http://schemas.openxmlformats.org/officeDocument/2006/relationships/hyperlink" Target="http://radist.kz/products/RM-RT16.html" TargetMode="External"/><Relationship Id="rId289" Type="http://schemas.openxmlformats.org/officeDocument/2006/relationships/hyperlink" Target="http://radist.kz/products/DB-1410UHF.html" TargetMode="External"/><Relationship Id="rId454" Type="http://schemas.openxmlformats.org/officeDocument/2006/relationships/hyperlink" Target="https://radist.kz/products/avtomobilnaya_ratsiya_anytone_at_888_v.html" TargetMode="External"/><Relationship Id="rId496" Type="http://schemas.openxmlformats.org/officeDocument/2006/relationships/hyperlink" Target="../../cbsta/AppData/Roaming/Microsoft/Excel/vch_razem_tnc_m_dlya_kabelya_rg_58_pod_obzhim" TargetMode="External"/><Relationship Id="rId11" Type="http://schemas.openxmlformats.org/officeDocument/2006/relationships/hyperlink" Target="http://radist.kz/products/Yosan-CB-200.html" TargetMode="External"/><Relationship Id="rId53" Type="http://schemas.openxmlformats.org/officeDocument/2006/relationships/hyperlink" Target="http://radist.kz/products/AnyTone-AT-608.html" TargetMode="External"/><Relationship Id="rId149" Type="http://schemas.openxmlformats.org/officeDocument/2006/relationships/hyperlink" Target="http://radist.kz/products/Ekvivalent-nagruzki-0-3GGts-25Vt.html" TargetMode="External"/><Relationship Id="rId314" Type="http://schemas.openxmlformats.org/officeDocument/2006/relationships/hyperlink" Target="http://radist.kz/products/Sirio-Super-9-Blue-Line.html" TargetMode="External"/><Relationship Id="rId356" Type="http://schemas.openxmlformats.org/officeDocument/2006/relationships/hyperlink" Target="http://radist.kz/products/predusilitel_signala_3g_bu_20.html" TargetMode="External"/><Relationship Id="rId398" Type="http://schemas.openxmlformats.org/officeDocument/2006/relationships/hyperlink" Target="http://radist.kz/products/antenna_bazovaya_sdy_450.html" TargetMode="External"/><Relationship Id="rId521" Type="http://schemas.openxmlformats.org/officeDocument/2006/relationships/hyperlink" Target="https://radist.kz/products/akkumulyator_kb_w65b_dlya_r_s_kirisun_t60_t65.html" TargetMode="External"/><Relationship Id="rId563" Type="http://schemas.openxmlformats.org/officeDocument/2006/relationships/hyperlink" Target="https://radist.kz/products/antennyy_analizator_rigexpert_aa_650.html" TargetMode="External"/><Relationship Id="rId619" Type="http://schemas.openxmlformats.org/officeDocument/2006/relationships/hyperlink" Target="https://radist.kz/products/komplekt_dlya_3g_4g_interneta_router_starnet_4g_cpe_i_vneshnyaya_antenna_remo_2346.html" TargetMode="External"/><Relationship Id="rId95" Type="http://schemas.openxmlformats.org/officeDocument/2006/relationships/hyperlink" Target="http://radist.kz/products/RM-KL500.html" TargetMode="External"/><Relationship Id="rId160" Type="http://schemas.openxmlformats.org/officeDocument/2006/relationships/hyperlink" Target="http://radist.kz/products/BL-5.html" TargetMode="External"/><Relationship Id="rId216" Type="http://schemas.openxmlformats.org/officeDocument/2006/relationships/hyperlink" Target="http://radist.kz/products/Garnitura-universalnaya-s-usilennym-shnurom-FH-003.html" TargetMode="External"/><Relationship Id="rId423" Type="http://schemas.openxmlformats.org/officeDocument/2006/relationships/hyperlink" Target="https://radist.kz/products/zaryadnoe_ustroystvo_abc_1220d_12v_20a.html" TargetMode="External"/><Relationship Id="rId258" Type="http://schemas.openxmlformats.org/officeDocument/2006/relationships/hyperlink" Target="http://radist.kz/products/BS-101U.html" TargetMode="External"/><Relationship Id="rId465" Type="http://schemas.openxmlformats.org/officeDocument/2006/relationships/hyperlink" Target="https://radist.kz/products/ratsiya_avtomobilnaya_anytone_at_310m_plus.html" TargetMode="External"/><Relationship Id="rId630" Type="http://schemas.openxmlformats.org/officeDocument/2006/relationships/hyperlink" Target="https://radist.kz/products/garnitura_laringofon_earphonic_er02dp02sb6_k_dlya_nosimykh_ratsiy_s_interfeysom_2_pin_k1.html" TargetMode="External"/><Relationship Id="rId22" Type="http://schemas.openxmlformats.org/officeDocument/2006/relationships/hyperlink" Target="http://radist.kz/products/PUXING-PX-2R.html" TargetMode="External"/><Relationship Id="rId64" Type="http://schemas.openxmlformats.org/officeDocument/2006/relationships/hyperlink" Target="http://radist.kz/products/AnyTone-AT-4000D.html" TargetMode="External"/><Relationship Id="rId118" Type="http://schemas.openxmlformats.org/officeDocument/2006/relationships/hyperlink" Target="http://radist.kz/products/Magnitnoe-osnovanie-MT-1303.html" TargetMode="External"/><Relationship Id="rId325" Type="http://schemas.openxmlformats.org/officeDocument/2006/relationships/hyperlink" Target="http://radist.kz/products/qb_40l.html" TargetMode="External"/><Relationship Id="rId367" Type="http://schemas.openxmlformats.org/officeDocument/2006/relationships/hyperlink" Target="http://radist.kz/products/garnitura_dlya_radiostantsii_anytone_at_5289.html" TargetMode="External"/><Relationship Id="rId532" Type="http://schemas.openxmlformats.org/officeDocument/2006/relationships/hyperlink" Target="https://radist.kz/products/gps_treker_sinotrack_st_909.html" TargetMode="External"/><Relationship Id="rId574" Type="http://schemas.openxmlformats.org/officeDocument/2006/relationships/hyperlink" Target="https://radist.kz/products/vika_27f_mimo_setchataya_razbornaya_parabolicheskaya_antenna_lte1800_umts2100_lte2100_lte2300_lte260.html" TargetMode="External"/><Relationship Id="rId171" Type="http://schemas.openxmlformats.org/officeDocument/2006/relationships/hyperlink" Target="http://radist.kz/products/Konnektor-N-F-pod-payku.html" TargetMode="External"/><Relationship Id="rId227" Type="http://schemas.openxmlformats.org/officeDocument/2006/relationships/hyperlink" Target="http://radist.kz/products/Garnitura-skrytogo-nosheniya-EAR-4-s-prozrachnym-vozdukhovodom.html" TargetMode="External"/><Relationship Id="rId269" Type="http://schemas.openxmlformats.org/officeDocument/2006/relationships/hyperlink" Target="http://radist.kz/products/OM-86NF.html" TargetMode="External"/><Relationship Id="rId434" Type="http://schemas.openxmlformats.org/officeDocument/2006/relationships/hyperlink" Target="https://radist.kz/products/akkumulyator_pb_80l_dlya_r_s_puxing_px_800s_820s_840s.html" TargetMode="External"/><Relationship Id="rId476" Type="http://schemas.openxmlformats.org/officeDocument/2006/relationships/hyperlink" Target="https://radist.kz/products/preobrazovatel_napryazheniya_24_220v_hp_3000_3000_6000vatt.html" TargetMode="External"/><Relationship Id="rId33" Type="http://schemas.openxmlformats.org/officeDocument/2006/relationships/hyperlink" Target="http://radist.kz/products/AnyTone-AT-298-U.html" TargetMode="External"/><Relationship Id="rId129" Type="http://schemas.openxmlformats.org/officeDocument/2006/relationships/hyperlink" Target="http://radist.kz/products/Machta-teleskopicheskaya-legkaya-MTL-12.html" TargetMode="External"/><Relationship Id="rId280" Type="http://schemas.openxmlformats.org/officeDocument/2006/relationships/hyperlink" Target="http://radist.kz/products/QX-004B.html" TargetMode="External"/><Relationship Id="rId336" Type="http://schemas.openxmlformats.org/officeDocument/2006/relationships/hyperlink" Target="http://radist.kz/products/ratsiya_portativnaya_anytone_at_3208plus_u.html" TargetMode="External"/><Relationship Id="rId501" Type="http://schemas.openxmlformats.org/officeDocument/2006/relationships/hyperlink" Target="https://radist.kz/products/vch_razem_fme_female_dlya_kabelya_rg_58_pod_obzhim.html" TargetMode="External"/><Relationship Id="rId543" Type="http://schemas.openxmlformats.org/officeDocument/2006/relationships/hyperlink" Target="https://radist.kz/products/shtyr_dlya_antenny_1_8kh3kh1000_mm.html" TargetMode="External"/><Relationship Id="rId75" Type="http://schemas.openxmlformats.org/officeDocument/2006/relationships/hyperlink" Target="http://radist.kz/products/AnyTone-AT-7100GDW.html" TargetMode="External"/><Relationship Id="rId140" Type="http://schemas.openxmlformats.org/officeDocument/2006/relationships/hyperlink" Target="http://radist.kz/products/MiWi-S-60-12.html" TargetMode="External"/><Relationship Id="rId182" Type="http://schemas.openxmlformats.org/officeDocument/2006/relationships/hyperlink" Target="http://radist.kz/products/Konnektor-perekhodnik-TNC-M-F-F-dlya-kabelya-RG-6U.html" TargetMode="External"/><Relationship Id="rId378" Type="http://schemas.openxmlformats.org/officeDocument/2006/relationships/hyperlink" Target="http://radist.kz/products/antenna_avtomobilnaya_sd_nm90_4g.html" TargetMode="External"/><Relationship Id="rId403" Type="http://schemas.openxmlformats.org/officeDocument/2006/relationships/hyperlink" Target="http://radist.kz/products/pryamoe_zaryadnoe_ustroystvo_cpl_03_dlya_r_s_anytone_at_298_at_398.html" TargetMode="External"/><Relationship Id="rId585" Type="http://schemas.openxmlformats.org/officeDocument/2006/relationships/hyperlink" Target="https://radist.kz/products/antennyy_analizator_rigexpert_aa_3000_zoom.html" TargetMode="External"/><Relationship Id="rId6" Type="http://schemas.openxmlformats.org/officeDocument/2006/relationships/hyperlink" Target="http://radist.kz/products/Yosan-JC-2204-Turbo.html" TargetMode="External"/><Relationship Id="rId238" Type="http://schemas.openxmlformats.org/officeDocument/2006/relationships/hyperlink" Target="http://radist.kz/products/SHtyr-s-krepleniem-NMO-dlya-antenny-DB-1410UHF.html" TargetMode="External"/><Relationship Id="rId445" Type="http://schemas.openxmlformats.org/officeDocument/2006/relationships/hyperlink" Target="https://radist.kz/products/podavitel_svyazi_jyt_cvu770.html" TargetMode="External"/><Relationship Id="rId487" Type="http://schemas.openxmlformats.org/officeDocument/2006/relationships/hyperlink" Target="../../cbsta/AppData/Roaming/Microsoft/Excel/&#1050;&#1072;&#1073;&#1077;&#1083;&#1100;&#1085;&#1072;&#1103;%20&#1089;&#1073;&#1086;&#1088;&#1082;&#1072;%20&#1076;&#1083;&#1080;&#1085;&#1086;&#1081;%2010%20&#1084;&#1077;&#1090;&#1088;&#1086;&#1074;%20&#1080;&#1079;%20&#1082;&#1072;&#1073;&#1077;&#1083;&#1103;%20RG-58%20&#1089;%20&#1082;&#1086;&#1085;&#1085;&#1077;&#1082;&#1090;&#1086;&#1088;&#1072;&#1084;&#1080;%20N-male/SMA-male.%20&#1042;&#1085;&#1086;&#1089;&#1080;&#1084;&#1086;&#1077;%20&#1079;&#1072;&#1090;&#1091;&#1093;&#1072;&#1085;&#1080;&#1077;%20&#1085;&#1072;%20&#1095;&#1072;&#1089;&#1090;&#1086;&#1090;&#1077;%201800&#1052;&#1043;&#1094;%20&#1086;&#1082;&#1086;&#1083;&#1086;%205.3%20&#1076;&#1041;" TargetMode="External"/><Relationship Id="rId610" Type="http://schemas.openxmlformats.org/officeDocument/2006/relationships/hyperlink" Target="https://radist.kz/products/mikrofon_dlya_radiostantsiy_anytone_at_588uv_at_778uv.html" TargetMode="External"/><Relationship Id="rId291" Type="http://schemas.openxmlformats.org/officeDocument/2006/relationships/hyperlink" Target="http://radist.kz/products/DBM-1410VHF.html" TargetMode="External"/><Relationship Id="rId305" Type="http://schemas.openxmlformats.org/officeDocument/2006/relationships/hyperlink" Target="http://radist.kz/products/CB-59.html" TargetMode="External"/><Relationship Id="rId347" Type="http://schemas.openxmlformats.org/officeDocument/2006/relationships/hyperlink" Target="http://radist.kz/products/blok_pitaniya_miwi_sp_500_13_5.html" TargetMode="External"/><Relationship Id="rId512" Type="http://schemas.openxmlformats.org/officeDocument/2006/relationships/hyperlink" Target="https://radist.kz/products/mikrofon_s_dtmf_upravleniem_dlya_ratsii_luiton_lt_590.html" TargetMode="External"/><Relationship Id="rId44" Type="http://schemas.openxmlformats.org/officeDocument/2006/relationships/hyperlink" Target="http://radist.kz/products/AnyTone-AT-3318UV.html" TargetMode="External"/><Relationship Id="rId86" Type="http://schemas.openxmlformats.org/officeDocument/2006/relationships/hyperlink" Target="http://radist.kz/products/RM-KL-203.html" TargetMode="External"/><Relationship Id="rId151" Type="http://schemas.openxmlformats.org/officeDocument/2006/relationships/hyperlink" Target="http://radist.kz/products/Nissei-RS-27.html" TargetMode="External"/><Relationship Id="rId389" Type="http://schemas.openxmlformats.org/officeDocument/2006/relationships/hyperlink" Target="http://radist.kz/products/DB-U9401-antenna-morskaya-450-470MGts.html" TargetMode="External"/><Relationship Id="rId554" Type="http://schemas.openxmlformats.org/officeDocument/2006/relationships/hyperlink" Target="https://radist.kz/products/antenna_bazovaya_napravlennaya_sd_yv5b.html" TargetMode="External"/><Relationship Id="rId596" Type="http://schemas.openxmlformats.org/officeDocument/2006/relationships/hyperlink" Target="https://radist.kz/products/ratsiya_avtomobilnaya_anytone_at_588_v.html" TargetMode="External"/><Relationship Id="rId193" Type="http://schemas.openxmlformats.org/officeDocument/2006/relationships/hyperlink" Target="http://radist.kz/products/Splitter-QX-009B.html" TargetMode="External"/><Relationship Id="rId207" Type="http://schemas.openxmlformats.org/officeDocument/2006/relationships/hyperlink" Target="http://radist.kz/products/Skoba-krepleniya-antenny-na-vodostok-TR606.html" TargetMode="External"/><Relationship Id="rId249" Type="http://schemas.openxmlformats.org/officeDocument/2006/relationships/hyperlink" Target="http://radist.kz/products/Gibkaya-antenna-dlya-radiostantsii-Baofeng-UV-5R-UV-5R-Pro.html" TargetMode="External"/><Relationship Id="rId414" Type="http://schemas.openxmlformats.org/officeDocument/2006/relationships/hyperlink" Target="https://radist.kz/products/antennyy_analizator_rigexpert_aa_35_zoom.html" TargetMode="External"/><Relationship Id="rId456" Type="http://schemas.openxmlformats.org/officeDocument/2006/relationships/hyperlink" Target="https://radist.kz/products/splitter_axd_2.html" TargetMode="External"/><Relationship Id="rId498" Type="http://schemas.openxmlformats.org/officeDocument/2006/relationships/hyperlink" Target="https://radist.kz/products/vch_razem_bnc_m_dlya_kabelya_rg_58_pod_payku.html" TargetMode="External"/><Relationship Id="rId621" Type="http://schemas.openxmlformats.org/officeDocument/2006/relationships/hyperlink" Target="https://radist.kz/products/antennyy_analizator_rigexpert_match_advanced.html" TargetMode="External"/><Relationship Id="rId13" Type="http://schemas.openxmlformats.org/officeDocument/2006/relationships/hyperlink" Target="http://radist.kz/products/AnyTone-AT-5289.html" TargetMode="External"/><Relationship Id="rId109" Type="http://schemas.openxmlformats.org/officeDocument/2006/relationships/hyperlink" Target="http://radist.kz/products/DC-30.html" TargetMode="External"/><Relationship Id="rId260" Type="http://schemas.openxmlformats.org/officeDocument/2006/relationships/hyperlink" Target="http://radist.kz/products/Sirio-GPF-22N.html" TargetMode="External"/><Relationship Id="rId316" Type="http://schemas.openxmlformats.org/officeDocument/2006/relationships/hyperlink" Target="http://radist.kz/products/Sirio-ML-145-MAG.html" TargetMode="External"/><Relationship Id="rId523" Type="http://schemas.openxmlformats.org/officeDocument/2006/relationships/hyperlink" Target="http://radist.kz/products/dinamik_vynosnoy_es_604.html" TargetMode="External"/><Relationship Id="rId55" Type="http://schemas.openxmlformats.org/officeDocument/2006/relationships/hyperlink" Target="http://radist.kz/products/AnyTone-AT-800.html" TargetMode="External"/><Relationship Id="rId97" Type="http://schemas.openxmlformats.org/officeDocument/2006/relationships/hyperlink" Target="http://radist.kz/products/RM-VLA-200V.html" TargetMode="External"/><Relationship Id="rId120" Type="http://schemas.openxmlformats.org/officeDocument/2006/relationships/hyperlink" Target="http://radist.kz/products/Kabelnaya-sborka-QX-007B.html" TargetMode="External"/><Relationship Id="rId358" Type="http://schemas.openxmlformats.org/officeDocument/2006/relationships/hyperlink" Target="http://radist.kz/products/MiWi-S-350-12.html" TargetMode="External"/><Relationship Id="rId565" Type="http://schemas.openxmlformats.org/officeDocument/2006/relationships/hyperlink" Target="https://radist.kz/products/antenna_petra_broad_band_75_mimo_2x2_2g_3g_4g_wifi.html" TargetMode="External"/><Relationship Id="rId162" Type="http://schemas.openxmlformats.org/officeDocument/2006/relationships/hyperlink" Target="http://radist.kz/products/KB-260.html" TargetMode="External"/><Relationship Id="rId218" Type="http://schemas.openxmlformats.org/officeDocument/2006/relationships/hyperlink" Target="http://radist.kz/products/Garnitura-universalnaya-EE-004-s-udlinennym-mikrofonom.html" TargetMode="External"/><Relationship Id="rId425" Type="http://schemas.openxmlformats.org/officeDocument/2006/relationships/hyperlink" Target="https://radist.kz/products/invertor_avtomobilnyy_hps_150_150_450vatt.html" TargetMode="External"/><Relationship Id="rId467" Type="http://schemas.openxmlformats.org/officeDocument/2006/relationships/hyperlink" Target="https://radist.kz/products/ratsiya_avtomobilnaya_luiton_lt_308.html" TargetMode="External"/><Relationship Id="rId632" Type="http://schemas.openxmlformats.org/officeDocument/2006/relationships/hyperlink" Target="https://radist.kz/products/akkumulyator_dlya_r_s_luiton_lt_316.html" TargetMode="External"/><Relationship Id="rId271" Type="http://schemas.openxmlformats.org/officeDocument/2006/relationships/hyperlink" Target="http://radist.kz/products/IA-GD2.html" TargetMode="External"/><Relationship Id="rId24" Type="http://schemas.openxmlformats.org/officeDocument/2006/relationships/hyperlink" Target="http://radist.kz/products/AnyTone-AT-628G-Optim.html" TargetMode="External"/><Relationship Id="rId66" Type="http://schemas.openxmlformats.org/officeDocument/2006/relationships/hyperlink" Target="http://radist.kz/products/ClearCast-SGU-5055.html" TargetMode="External"/><Relationship Id="rId131" Type="http://schemas.openxmlformats.org/officeDocument/2006/relationships/hyperlink" Target="http://radist.kz/products/Machta-alyuminievaya-MA-4.html" TargetMode="External"/><Relationship Id="rId327" Type="http://schemas.openxmlformats.org/officeDocument/2006/relationships/hyperlink" Target="http://radist.kz/products/bl_2r.html" TargetMode="External"/><Relationship Id="rId369" Type="http://schemas.openxmlformats.org/officeDocument/2006/relationships/hyperlink" Target="http://radist.kz/products/kabel_nmo_s_krepleniem_na_magnite_77_mm_mt_1310.html" TargetMode="External"/><Relationship Id="rId534" Type="http://schemas.openxmlformats.org/officeDocument/2006/relationships/hyperlink" Target="https://radist.kz/products/konnektor_perekhodnik_n_m_sma_f.html" TargetMode="External"/><Relationship Id="rId576" Type="http://schemas.openxmlformats.org/officeDocument/2006/relationships/hyperlink" Target="https://radist.kz/products/ukv_retranslyator_dmr_tsifrovoy_anytone_r780_u.html" TargetMode="External"/><Relationship Id="rId173" Type="http://schemas.openxmlformats.org/officeDocument/2006/relationships/hyperlink" Target="http://radist.kz/products/Konnektor-N-M-pod-obzhim.html" TargetMode="External"/><Relationship Id="rId229" Type="http://schemas.openxmlformats.org/officeDocument/2006/relationships/hyperlink" Target="http://radist.kz/products/Vynosnaya-garnitura-QHM-22.html" TargetMode="External"/><Relationship Id="rId380" Type="http://schemas.openxmlformats.org/officeDocument/2006/relationships/hyperlink" Target="http://radist.kz/products/antennyy_analizator_nissei_ns_60a.html" TargetMode="External"/><Relationship Id="rId436" Type="http://schemas.openxmlformats.org/officeDocument/2006/relationships/hyperlink" Target="https://radist.kz/products/chekhol_dlya_ratsii_universalnyy.html" TargetMode="External"/><Relationship Id="rId601" Type="http://schemas.openxmlformats.org/officeDocument/2006/relationships/hyperlink" Target="https://radist.kz/products/razem_n_type_male_papa_na_kabel_rg_213_lmr_400.html" TargetMode="External"/><Relationship Id="rId240" Type="http://schemas.openxmlformats.org/officeDocument/2006/relationships/hyperlink" Target="http://radist.kz/products/Gibkaya-antenna-dlya-radiostantsii-AnyTone-AT-518-AT-518-Turbo.html" TargetMode="External"/><Relationship Id="rId478" Type="http://schemas.openxmlformats.org/officeDocument/2006/relationships/hyperlink" Target="https://radist.kz/products/ratsiya_portativnaya_baofeng_bf_888s.html" TargetMode="External"/><Relationship Id="rId35" Type="http://schemas.openxmlformats.org/officeDocument/2006/relationships/hyperlink" Target="http://radist.kz/products/AnyTone-AT-289-V.html" TargetMode="External"/><Relationship Id="rId77" Type="http://schemas.openxmlformats.org/officeDocument/2006/relationships/hyperlink" Target="http://radist.kz/products/AnyTone-AT-408C.html" TargetMode="External"/><Relationship Id="rId100" Type="http://schemas.openxmlformats.org/officeDocument/2006/relationships/hyperlink" Target="http://radist.kz/products/APS-1210.html" TargetMode="External"/><Relationship Id="rId282" Type="http://schemas.openxmlformats.org/officeDocument/2006/relationships/hyperlink" Target="http://radist.kz/products/QX-001H.html" TargetMode="External"/><Relationship Id="rId338" Type="http://schemas.openxmlformats.org/officeDocument/2006/relationships/hyperlink" Target="http://radist.kz/products/ukv_retranslyator_anytone_at_7188.html" TargetMode="External"/><Relationship Id="rId503" Type="http://schemas.openxmlformats.org/officeDocument/2006/relationships/hyperlink" Target="https://radist.kz/products/vch_razem_sma_male_dlya_kabelya_rg_58_pod_obzhim.html" TargetMode="External"/><Relationship Id="rId545" Type="http://schemas.openxmlformats.org/officeDocument/2006/relationships/hyperlink" Target="https://radist.kz/products/shtyr_dlya_antenny_1_8kh3kh1200_mm.html" TargetMode="External"/><Relationship Id="rId587" Type="http://schemas.openxmlformats.org/officeDocument/2006/relationships/hyperlink" Target="https://radist.kz/products/ratsiya_portativnaya_quansheng_uv_k5_8.html" TargetMode="External"/><Relationship Id="rId8" Type="http://schemas.openxmlformats.org/officeDocument/2006/relationships/hyperlink" Target="http://radist.kz/products/AnyTone-AT-608M.html" TargetMode="External"/><Relationship Id="rId142" Type="http://schemas.openxmlformats.org/officeDocument/2006/relationships/hyperlink" Target="http://radist.kz/products/MiWi-D-60A.html" TargetMode="External"/><Relationship Id="rId184" Type="http://schemas.openxmlformats.org/officeDocument/2006/relationships/hyperlink" Target="http://radist.kz/products/Kabel-pitaniya-zaryadnogo-ustroystva-ot-prikurivatelya.html" TargetMode="External"/><Relationship Id="rId391" Type="http://schemas.openxmlformats.org/officeDocument/2006/relationships/hyperlink" Target="http://radist.kz/products/antenna_avtomobilnaya_438u_sd90_445.html" TargetMode="External"/><Relationship Id="rId405" Type="http://schemas.openxmlformats.org/officeDocument/2006/relationships/hyperlink" Target="http://radist.kz/products/garnitura_dlya_radiostantsii_luiton_lt_298.html" TargetMode="External"/><Relationship Id="rId447" Type="http://schemas.openxmlformats.org/officeDocument/2006/relationships/hyperlink" Target="https://radist.kz/products/podavitel_svyazi_jyt_1600.html" TargetMode="External"/><Relationship Id="rId612" Type="http://schemas.openxmlformats.org/officeDocument/2006/relationships/hyperlink" Target="https://radist.kz/products/1din_montazhnyy_nabor_dlya_sv_radiostantsiy_anytone_at505pro.html" TargetMode="External"/><Relationship Id="rId251" Type="http://schemas.openxmlformats.org/officeDocument/2006/relationships/hyperlink" Target="http://radist.kz/products/SHtyr-s-soglasuyushchey-katushkoy-i-emkostyu-dlya-antenny-CB-2319.html" TargetMode="External"/><Relationship Id="rId489" Type="http://schemas.openxmlformats.org/officeDocument/2006/relationships/hyperlink" Target="https://radist.kz/products/ax_1800_offset_75_mimo_2x2_ofsetnyy_obluchatel_4g_lte1800.html" TargetMode="External"/><Relationship Id="rId46" Type="http://schemas.openxmlformats.org/officeDocument/2006/relationships/hyperlink" Target="http://radist.kz/products/ALINCO-DX-SR9-NEW.html" TargetMode="External"/><Relationship Id="rId293" Type="http://schemas.openxmlformats.org/officeDocument/2006/relationships/hyperlink" Target="http://radist.kz/products/Hustler-RUT-150.html" TargetMode="External"/><Relationship Id="rId307" Type="http://schemas.openxmlformats.org/officeDocument/2006/relationships/hyperlink" Target="https://radist.kz/products/Sirio-Snake-27-Black.html" TargetMode="External"/><Relationship Id="rId349" Type="http://schemas.openxmlformats.org/officeDocument/2006/relationships/hyperlink" Target="http://radist.kz/products/antenna_avtomobilnaya_cb_1346.html" TargetMode="External"/><Relationship Id="rId514" Type="http://schemas.openxmlformats.org/officeDocument/2006/relationships/hyperlink" Target="https://radist.kz/products/ratsiya_avtomobilnaya_president_teddy_ii_asq_.html" TargetMode="External"/><Relationship Id="rId556" Type="http://schemas.openxmlformats.org/officeDocument/2006/relationships/hyperlink" Target="https://radist.kz/products/ratsiya_tsifrovaya_quesum_md_10.html" TargetMode="External"/><Relationship Id="rId88" Type="http://schemas.openxmlformats.org/officeDocument/2006/relationships/hyperlink" Target="http://radist.kz/products/RM-KL-243.html" TargetMode="External"/><Relationship Id="rId111" Type="http://schemas.openxmlformats.org/officeDocument/2006/relationships/hyperlink" Target="http://radist.kz/products/RM-RT30SW.html" TargetMode="External"/><Relationship Id="rId153" Type="http://schemas.openxmlformats.org/officeDocument/2006/relationships/hyperlink" Target="http://radist.kz/products/Nissei-RX-203.html" TargetMode="External"/><Relationship Id="rId195" Type="http://schemas.openxmlformats.org/officeDocument/2006/relationships/hyperlink" Target="http://radist.kz/products/Kabel-USB-dlya-programmirovaniya-radiostantsii-Puxing-PX-2R.html" TargetMode="External"/><Relationship Id="rId209" Type="http://schemas.openxmlformats.org/officeDocument/2006/relationships/hyperlink" Target="http://radist.kz/products/Skoba-MT3301-universalnaya-dlya-krepleniya-antenny-na-vodostok.html" TargetMode="External"/><Relationship Id="rId360" Type="http://schemas.openxmlformats.org/officeDocument/2006/relationships/hyperlink" Target="http://radist.kz/products/avtomobilnaya_sv_antenna_sirio_performer_5000_led.html" TargetMode="External"/><Relationship Id="rId416" Type="http://schemas.openxmlformats.org/officeDocument/2006/relationships/hyperlink" Target="https://radist.kz/products/antennyy_analizator_rigexpert_aa_230_zoom.html" TargetMode="External"/><Relationship Id="rId598" Type="http://schemas.openxmlformats.org/officeDocument/2006/relationships/hyperlink" Target="https://radist.kz/products/ukv_retranslyator_dmr_tsifrovoy_quesum_r_8900.html" TargetMode="External"/><Relationship Id="rId220" Type="http://schemas.openxmlformats.org/officeDocument/2006/relationships/hyperlink" Target="http://radist.kz/products/Garnitura-BCL2010-s-vynosnoy-knopkoy.html" TargetMode="External"/><Relationship Id="rId458" Type="http://schemas.openxmlformats.org/officeDocument/2006/relationships/hyperlink" Target="https://radist.kz/products/1din_montazhnyy_nabor_dlya_sv_radiostantsiy_president_barry_asc.html" TargetMode="External"/><Relationship Id="rId623" Type="http://schemas.openxmlformats.org/officeDocument/2006/relationships/hyperlink" Target="https://radist.kz/products/portativnaya_ratsiya_quansheng_tk11_8_.html" TargetMode="External"/><Relationship Id="rId15" Type="http://schemas.openxmlformats.org/officeDocument/2006/relationships/hyperlink" Target="http://radist.kz/products/AnyTone-AT-5189-V.html" TargetMode="External"/><Relationship Id="rId57" Type="http://schemas.openxmlformats.org/officeDocument/2006/relationships/hyperlink" Target="http://radist.kz/products/AnyTone-AT-600C.html" TargetMode="External"/><Relationship Id="rId262" Type="http://schemas.openxmlformats.org/officeDocument/2006/relationships/hyperlink" Target="http://radist.kz/products/Sirio-SD-1300N.html" TargetMode="External"/><Relationship Id="rId318" Type="http://schemas.openxmlformats.org/officeDocument/2006/relationships/hyperlink" Target="http://radist.kz/products/CB-2312.html" TargetMode="External"/><Relationship Id="rId525" Type="http://schemas.openxmlformats.org/officeDocument/2006/relationships/hyperlink" Target="https://radist.kz/products/dinamik_vynosnoy_es_608.html" TargetMode="External"/><Relationship Id="rId567" Type="http://schemas.openxmlformats.org/officeDocument/2006/relationships/hyperlink" Target="https://radist.kz/products/konnektor_perekhodnik_sma_m_f_f.html" TargetMode="External"/><Relationship Id="rId99" Type="http://schemas.openxmlformats.org/officeDocument/2006/relationships/hyperlink" Target="http://radist.kz/products/RM-HLA-300V-Plus.html" TargetMode="External"/><Relationship Id="rId122" Type="http://schemas.openxmlformats.org/officeDocument/2006/relationships/hyperlink" Target="http://radist.kz/products/Machta-teleskopicheskaya-MTP-4.html" TargetMode="External"/><Relationship Id="rId164" Type="http://schemas.openxmlformats.org/officeDocument/2006/relationships/hyperlink" Target="http://radist.kz/products/BP-62L.html" TargetMode="External"/><Relationship Id="rId371" Type="http://schemas.openxmlformats.org/officeDocument/2006/relationships/hyperlink" Target="http://radist.kz/products/kabel_dlya_avtomobilnoy_antenny_uhf_dv_.html" TargetMode="External"/><Relationship Id="rId427" Type="http://schemas.openxmlformats.org/officeDocument/2006/relationships/hyperlink" Target="https://radist.kz/products/preobrazovatel_napryazheniya_12_220v_hp_1200_1200_2600vatt.html" TargetMode="External"/><Relationship Id="rId469" Type="http://schemas.openxmlformats.org/officeDocument/2006/relationships/hyperlink" Target="https://radist.kz/products/izmeritel_ksv_i_moshchnosti_nissei_dg_503.html" TargetMode="External"/><Relationship Id="rId634" Type="http://schemas.openxmlformats.org/officeDocument/2006/relationships/hyperlink" Target="https://radist.kz/products/zaryadnoe_ustroystvo_stakan_dlya_radiostantsii_starnet_s_400.html" TargetMode="External"/><Relationship Id="rId26" Type="http://schemas.openxmlformats.org/officeDocument/2006/relationships/hyperlink" Target="http://radist.kz/products/AnyTone-AT-628G.html" TargetMode="External"/><Relationship Id="rId231" Type="http://schemas.openxmlformats.org/officeDocument/2006/relationships/hyperlink" Target="http://radist.kz/products/Garnitura-JC600Plus.html" TargetMode="External"/><Relationship Id="rId273" Type="http://schemas.openxmlformats.org/officeDocument/2006/relationships/hyperlink" Target="http://radist.kz/products/QX-005B-3G.html" TargetMode="External"/><Relationship Id="rId329" Type="http://schemas.openxmlformats.org/officeDocument/2006/relationships/hyperlink" Target="http://radist.kz/products/Ukorochennaya-antenna-dlya-radiostantsii-Climbmax-EM-9735.html" TargetMode="External"/><Relationship Id="rId480" Type="http://schemas.openxmlformats.org/officeDocument/2006/relationships/hyperlink" Target="https://radist.kz/products/ratsiya_portativnaya_baofeng_uv_82.html" TargetMode="External"/><Relationship Id="rId536" Type="http://schemas.openxmlformats.org/officeDocument/2006/relationships/hyperlink" Target="https://radist.kz/products/adapter_zaryadnoe_ustroystvo_v_prikurivatel_24_12v_8_4v_1a.html" TargetMode="External"/><Relationship Id="rId68" Type="http://schemas.openxmlformats.org/officeDocument/2006/relationships/hyperlink" Target="http://radist.kz/products/AnyTone-AT-6000GW.html" TargetMode="External"/><Relationship Id="rId133" Type="http://schemas.openxmlformats.org/officeDocument/2006/relationships/hyperlink" Target="http://radist.kz/products/Machta-alyuminievaya-MA-8.html" TargetMode="External"/><Relationship Id="rId175" Type="http://schemas.openxmlformats.org/officeDocument/2006/relationships/hyperlink" Target="http://radist.kz/products/Konnektor-perekhodnik-N-F-N-F.html" TargetMode="External"/><Relationship Id="rId340" Type="http://schemas.openxmlformats.org/officeDocument/2006/relationships/hyperlink" Target="http://radist.kz/products/repiter_3g_signala_anytone_at_6200w.html" TargetMode="External"/><Relationship Id="rId578" Type="http://schemas.openxmlformats.org/officeDocument/2006/relationships/hyperlink" Target="https://radist.kz/products/ratsiya_portativnaya_starnet_s_400v.html" TargetMode="External"/><Relationship Id="rId200" Type="http://schemas.openxmlformats.org/officeDocument/2006/relationships/hyperlink" Target="http://radist.kz/products/Kreplenie-pod-shirokiy-reling-AC-04DODGE.html" TargetMode="External"/><Relationship Id="rId382" Type="http://schemas.openxmlformats.org/officeDocument/2006/relationships/hyperlink" Target="http://radist.kz/products/ratsiya_avtomobilnaya_anytone_at_778uv.html" TargetMode="External"/><Relationship Id="rId438" Type="http://schemas.openxmlformats.org/officeDocument/2006/relationships/hyperlink" Target="https://radist.kz/products/sg_507_avtomobilnaya_antenna_144_430mhz.html" TargetMode="External"/><Relationship Id="rId603" Type="http://schemas.openxmlformats.org/officeDocument/2006/relationships/hyperlink" Target="https://radist.kz/products/sg_507_mag125_avtomobilnaya_antenna_144_430mhz.html" TargetMode="External"/><Relationship Id="rId242" Type="http://schemas.openxmlformats.org/officeDocument/2006/relationships/hyperlink" Target="http://radist.kz/products/Gibkaya-antenna-dlya-radiostantsii-Puxing-PX-359.html" TargetMode="External"/><Relationship Id="rId284" Type="http://schemas.openxmlformats.org/officeDocument/2006/relationships/hyperlink" Target="http://radist.kz/products/QX-004H.html" TargetMode="External"/><Relationship Id="rId491" Type="http://schemas.openxmlformats.org/officeDocument/2006/relationships/hyperlink" Target="https://radist.kz/products/ratsiya_avtomobilnaya_president_barry_ii_asq_.html" TargetMode="External"/><Relationship Id="rId505" Type="http://schemas.openxmlformats.org/officeDocument/2006/relationships/hyperlink" Target="https://radist.kz/products/vch_razem_m_male_dlya_kabelya_rg_58_pod_payku.html" TargetMode="External"/><Relationship Id="rId37" Type="http://schemas.openxmlformats.org/officeDocument/2006/relationships/hyperlink" Target="http://radist.kz/products/Quansheng-TG-1680-U.html" TargetMode="External"/><Relationship Id="rId79" Type="http://schemas.openxmlformats.org/officeDocument/2006/relationships/hyperlink" Target="http://radist.kz/products/RG-58.html" TargetMode="External"/><Relationship Id="rId102" Type="http://schemas.openxmlformats.org/officeDocument/2006/relationships/hyperlink" Target="http://radist.kz/products/RM-SPS1030S.html" TargetMode="External"/><Relationship Id="rId144" Type="http://schemas.openxmlformats.org/officeDocument/2006/relationships/hyperlink" Target="http://radist.kz/products/MiWi-D-120A.html" TargetMode="External"/><Relationship Id="rId547" Type="http://schemas.openxmlformats.org/officeDocument/2006/relationships/hyperlink" Target="https://radist.kz/products/shtyr_iz_nerzhaveyushchey_stali_dlya_antenny_razmer_1_8kh3kh1500_mm.html" TargetMode="External"/><Relationship Id="rId589" Type="http://schemas.openxmlformats.org/officeDocument/2006/relationships/hyperlink" Target="https://radist.kz/products/gibkaya_antenna_dlya_quansheng_uv_k5_uv_k5_8.html" TargetMode="External"/><Relationship Id="rId90" Type="http://schemas.openxmlformats.org/officeDocument/2006/relationships/hyperlink" Target="http://radist.kz/products/RM-KL-300.html" TargetMode="External"/><Relationship Id="rId186" Type="http://schemas.openxmlformats.org/officeDocument/2006/relationships/hyperlink" Target="http://radist.kz/products/Zaryadnoe-ustroystvo-stakan-dlya-akkumulyatora-BP-62L.html" TargetMode="External"/><Relationship Id="rId351" Type="http://schemas.openxmlformats.org/officeDocument/2006/relationships/hyperlink" Target="http://radist.kz/products/ratsiya_avtomobilnaya_anytone_apollo_ii.html" TargetMode="External"/><Relationship Id="rId393" Type="http://schemas.openxmlformats.org/officeDocument/2006/relationships/hyperlink" Target="http://radist.kz/products/antenna_avtomobilnaya_438u_sd90_415.html" TargetMode="External"/><Relationship Id="rId407" Type="http://schemas.openxmlformats.org/officeDocument/2006/relationships/hyperlink" Target="http://radist.kz/products/statsionarnyy_gsm_telefon_termit_fixphone_v2_rev_3_1_0.html" TargetMode="External"/><Relationship Id="rId449" Type="http://schemas.openxmlformats.org/officeDocument/2006/relationships/hyperlink" Target="https://radist.kz/products/1din_shakhta_dlya_sv_radiostantsii_luiton_president_optim.html" TargetMode="External"/><Relationship Id="rId614" Type="http://schemas.openxmlformats.org/officeDocument/2006/relationships/hyperlink" Target="https://radist.kz/products/antenna_avtomobilnaya_gibkaya_vhf_uhf_sd_r2.html" TargetMode="External"/><Relationship Id="rId211" Type="http://schemas.openxmlformats.org/officeDocument/2006/relationships/hyperlink" Target="http://radist.kz/products/Kreplenie-universalnoe-MT-3202.html" TargetMode="External"/><Relationship Id="rId253" Type="http://schemas.openxmlformats.org/officeDocument/2006/relationships/hyperlink" Target="http://radist.kz/products/SHtyr-2-metra-dlya-SV2307-SV2312.html" TargetMode="External"/><Relationship Id="rId295" Type="http://schemas.openxmlformats.org/officeDocument/2006/relationships/hyperlink" Target="http://radist.kz/products/Hustler-RUM-450.html" TargetMode="External"/><Relationship Id="rId309" Type="http://schemas.openxmlformats.org/officeDocument/2006/relationships/hyperlink" Target="http://radist.kz/products/LEMM-AT-1500.html" TargetMode="External"/><Relationship Id="rId460" Type="http://schemas.openxmlformats.org/officeDocument/2006/relationships/hyperlink" Target="http://radist.kz/products/Yosan-Excalibur.html" TargetMode="External"/><Relationship Id="rId516" Type="http://schemas.openxmlformats.org/officeDocument/2006/relationships/hyperlink" Target="https://radist.kz/products/portativnaya_ratsiya_kirisun_t60_s_sim_kartoy_2g_3g_4g_wi_fi.html" TargetMode="External"/><Relationship Id="rId48" Type="http://schemas.openxmlformats.org/officeDocument/2006/relationships/hyperlink" Target="http://radist.kz/products/Intek-H-520-Plus.html" TargetMode="External"/><Relationship Id="rId113" Type="http://schemas.openxmlformats.org/officeDocument/2006/relationships/hyperlink" Target="http://radist.kz/products/Kabel-AS-5830.html" TargetMode="External"/><Relationship Id="rId320" Type="http://schemas.openxmlformats.org/officeDocument/2006/relationships/hyperlink" Target="http://radist.kz/products/Sirio-Performer-5000.html" TargetMode="External"/><Relationship Id="rId558" Type="http://schemas.openxmlformats.org/officeDocument/2006/relationships/hyperlink" Target="https://radist.kz/products/ukv_retranslyator_dmr_tsifrovoy_quesum_r_8900.html" TargetMode="External"/><Relationship Id="rId155" Type="http://schemas.openxmlformats.org/officeDocument/2006/relationships/hyperlink" Target="http://radist.kz/products/Nissei-RX-503.html" TargetMode="External"/><Relationship Id="rId197" Type="http://schemas.openxmlformats.org/officeDocument/2006/relationships/hyperlink" Target="http://radist.kz/products/Kabel-PC-1-USB.html" TargetMode="External"/><Relationship Id="rId362" Type="http://schemas.openxmlformats.org/officeDocument/2006/relationships/hyperlink" Target="http://radist.kz/products/antenna_bazovaya_sirio_gp_365_470_c.html" TargetMode="External"/><Relationship Id="rId418" Type="http://schemas.openxmlformats.org/officeDocument/2006/relationships/hyperlink" Target="https://radist.kz/products/antenna_avtomobilnaya_sd_t3_27.html" TargetMode="External"/><Relationship Id="rId625" Type="http://schemas.openxmlformats.org/officeDocument/2006/relationships/hyperlink" Target="https://radist.kz/products/garnitura_dlya_puxing_px_800s_820s_840s.html" TargetMode="External"/><Relationship Id="rId222" Type="http://schemas.openxmlformats.org/officeDocument/2006/relationships/hyperlink" Target="http://radist.kz/products/Garnitura-ECH1040-s-ushnym-krepleniem.html" TargetMode="External"/><Relationship Id="rId264" Type="http://schemas.openxmlformats.org/officeDocument/2006/relationships/hyperlink" Target="http://radist.kz/products/Sirio-GPE27-5-8.html" TargetMode="External"/><Relationship Id="rId471" Type="http://schemas.openxmlformats.org/officeDocument/2006/relationships/hyperlink" Target="https://radist.kz/products/ukv_retranslyator_dmr_tsifrovoy_abell_r_80.html" TargetMode="External"/><Relationship Id="rId17" Type="http://schemas.openxmlformats.org/officeDocument/2006/relationships/hyperlink" Target="http://radist.kz/products/AnyTone-AT-6666.html" TargetMode="External"/><Relationship Id="rId59" Type="http://schemas.openxmlformats.org/officeDocument/2006/relationships/hyperlink" Target="http://radist.kz/products/AnyTone-AT-6000W.html" TargetMode="External"/><Relationship Id="rId124" Type="http://schemas.openxmlformats.org/officeDocument/2006/relationships/hyperlink" Target="http://radist.kz/products/Machta-teleskopicheskaya-MTP-6.html" TargetMode="External"/><Relationship Id="rId527" Type="http://schemas.openxmlformats.org/officeDocument/2006/relationships/hyperlink" Target="https://radist.kz/products/ratsiya_portativnaya_starnet_s_200.html" TargetMode="External"/><Relationship Id="rId569" Type="http://schemas.openxmlformats.org/officeDocument/2006/relationships/hyperlink" Target="https://radist.kz/products/zeta_f_mimo_shirokopolosnaya_panelnaya_antenna_4g_3g_2g.html" TargetMode="External"/><Relationship Id="rId70" Type="http://schemas.openxmlformats.org/officeDocument/2006/relationships/hyperlink" Target="http://radist.kz/products/AnyTone-AT-6200GW.html" TargetMode="External"/><Relationship Id="rId166" Type="http://schemas.openxmlformats.org/officeDocument/2006/relationships/hyperlink" Target="http://radist.kz/products/QB-37L-QB-26LH.html" TargetMode="External"/><Relationship Id="rId331" Type="http://schemas.openxmlformats.org/officeDocument/2006/relationships/hyperlink" Target="http://radist.kz/products/RG-6.html" TargetMode="External"/><Relationship Id="rId373" Type="http://schemas.openxmlformats.org/officeDocument/2006/relationships/hyperlink" Target="http://radist.kz/products/antenna_bazovaya_bc_200l.html" TargetMode="External"/><Relationship Id="rId429" Type="http://schemas.openxmlformats.org/officeDocument/2006/relationships/hyperlink" Target="https://radist.kz/products/knopka_udalennogo_upravleniya_preobrazovatelyami_600_3000vt.html" TargetMode="External"/><Relationship Id="rId580" Type="http://schemas.openxmlformats.org/officeDocument/2006/relationships/hyperlink" Target="https://radist.kz/products/antennyy_analizator_rigexpert_aa_1500_zoom.html" TargetMode="External"/><Relationship Id="rId636" Type="http://schemas.openxmlformats.org/officeDocument/2006/relationships/drawing" Target="../drawings/drawing1.xml"/><Relationship Id="rId1" Type="http://schemas.openxmlformats.org/officeDocument/2006/relationships/hyperlink" Target="http://radist.kz/products/Yosan-CB-50.html" TargetMode="External"/><Relationship Id="rId233" Type="http://schemas.openxmlformats.org/officeDocument/2006/relationships/hyperlink" Target="http://radist.kz/products/Laringofonnaya-garnitura-TP15-P23K1.html" TargetMode="External"/><Relationship Id="rId440" Type="http://schemas.openxmlformats.org/officeDocument/2006/relationships/hyperlink" Target="https://radist.kz/products/bazovaya_antenna_cb_diapazona_sd_ba27.html" TargetMode="External"/><Relationship Id="rId28" Type="http://schemas.openxmlformats.org/officeDocument/2006/relationships/hyperlink" Target="http://radist.kz/products/Kirisun-PT-260.html" TargetMode="External"/><Relationship Id="rId275" Type="http://schemas.openxmlformats.org/officeDocument/2006/relationships/hyperlink" Target="http://radist.kz/products/AX-2014P-MIMO-4G-LTE-antenna.html" TargetMode="External"/><Relationship Id="rId300" Type="http://schemas.openxmlformats.org/officeDocument/2006/relationships/hyperlink" Target="http://radist.kz/products/DB-450.html" TargetMode="External"/><Relationship Id="rId482" Type="http://schemas.openxmlformats.org/officeDocument/2006/relationships/hyperlink" Target="https://radist.kz/products/ratsiya_tsifrovaya_baofeng_dm_1801.html" TargetMode="External"/><Relationship Id="rId538" Type="http://schemas.openxmlformats.org/officeDocument/2006/relationships/hyperlink" Target="https://radist.kz/products/ratsiya_portativnaya_anytone_at_d868uv.html" TargetMode="External"/><Relationship Id="rId81" Type="http://schemas.openxmlformats.org/officeDocument/2006/relationships/hyperlink" Target="http://radist.kz/products/RG-213.html" TargetMode="External"/><Relationship Id="rId135" Type="http://schemas.openxmlformats.org/officeDocument/2006/relationships/hyperlink" Target="http://radist.kz/products/Kronshteyn-Skarabey-M-obraznyy-0-5-m.html" TargetMode="External"/><Relationship Id="rId177" Type="http://schemas.openxmlformats.org/officeDocument/2006/relationships/hyperlink" Target="http://radist.kz/products/Konnektor-perekhodnik-BNC-M-UHF-F.html" TargetMode="External"/><Relationship Id="rId342" Type="http://schemas.openxmlformats.org/officeDocument/2006/relationships/hyperlink" Target="http://radist.kz/products/garnitura_dlya_radiostantsii_leixen_uv_25hx.html" TargetMode="External"/><Relationship Id="rId384" Type="http://schemas.openxmlformats.org/officeDocument/2006/relationships/hyperlink" Target="http://radist.kz/products/nabor_dlya_vynosa_peredney_paneli_at_588uv_qmb_03.html" TargetMode="External"/><Relationship Id="rId591" Type="http://schemas.openxmlformats.org/officeDocument/2006/relationships/hyperlink" Target="https://radist.kz/products/machta_antennaya_m60d4_6_metrov.html" TargetMode="External"/><Relationship Id="rId605" Type="http://schemas.openxmlformats.org/officeDocument/2006/relationships/hyperlink" Target="https://radist.kz/products/antena_bazovaya_napravlennaya_sirio_wy_300_4n_300_500_mgts.html" TargetMode="External"/><Relationship Id="rId202" Type="http://schemas.openxmlformats.org/officeDocument/2006/relationships/hyperlink" Target="http://radist.kz/products/Kreplenie-dlya-SV2307-SV2312.html" TargetMode="External"/><Relationship Id="rId244" Type="http://schemas.openxmlformats.org/officeDocument/2006/relationships/hyperlink" Target="http://radist.kz/products/Ukorochennaya-antenna-dlya-radiostantsii-Climbmax-EM-9735.html" TargetMode="External"/><Relationship Id="rId39" Type="http://schemas.openxmlformats.org/officeDocument/2006/relationships/hyperlink" Target="http://radist.kz/products/AnyTone-AT-288-V.html" TargetMode="External"/><Relationship Id="rId286" Type="http://schemas.openxmlformats.org/officeDocument/2006/relationships/hyperlink" Target="http://radist.kz/products/DB-1348UHF.html" TargetMode="External"/><Relationship Id="rId451" Type="http://schemas.openxmlformats.org/officeDocument/2006/relationships/hyperlink" Target="https://radist.kz/products/duplekser_sgq_150D_136_174mgts_50vt_.html" TargetMode="External"/><Relationship Id="rId493" Type="http://schemas.openxmlformats.org/officeDocument/2006/relationships/hyperlink" Target="http://radist.kz/products/Lemm-AT-2001.html" TargetMode="External"/><Relationship Id="rId507" Type="http://schemas.openxmlformats.org/officeDocument/2006/relationships/hyperlink" Target="https://radist.kz/products/komnatnaya_3g_4g_antenna_bas_2013_mimo_indoor.html" TargetMode="External"/><Relationship Id="rId549" Type="http://schemas.openxmlformats.org/officeDocument/2006/relationships/hyperlink" Target="https://radist.kz/products/antenna_dlya_radiostantsii_starnet_s_400.html" TargetMode="External"/><Relationship Id="rId50" Type="http://schemas.openxmlformats.org/officeDocument/2006/relationships/hyperlink" Target="http://radist.kz/products/AnyTone-AT-400-Turbo.html" TargetMode="External"/><Relationship Id="rId104" Type="http://schemas.openxmlformats.org/officeDocument/2006/relationships/hyperlink" Target="http://radist.kz/products/RM-RT5.html" TargetMode="External"/><Relationship Id="rId146" Type="http://schemas.openxmlformats.org/officeDocument/2006/relationships/hyperlink" Target="http://radist.kz/products/MiWi-S-250-12.html" TargetMode="External"/><Relationship Id="rId188" Type="http://schemas.openxmlformats.org/officeDocument/2006/relationships/hyperlink" Target="http://radist.kz/products/Splitter-QX-008B.html" TargetMode="External"/><Relationship Id="rId311" Type="http://schemas.openxmlformats.org/officeDocument/2006/relationships/hyperlink" Target="http://radist.kz/products/Sirio-NEW-DELTA-27-95.html" TargetMode="External"/><Relationship Id="rId353" Type="http://schemas.openxmlformats.org/officeDocument/2006/relationships/hyperlink" Target="http://radist.kz/products/antenna_logoperiodcheskaya_gsm900_1800_3g_4g_wi_fi_lpa_110.html" TargetMode="External"/><Relationship Id="rId395" Type="http://schemas.openxmlformats.org/officeDocument/2006/relationships/hyperlink" Target="http://radist.kz/products/antenna_avtomobilnaya_438v_sd90_155.html" TargetMode="External"/><Relationship Id="rId409" Type="http://schemas.openxmlformats.org/officeDocument/2006/relationships/hyperlink" Target="https://radist.kz/products/kabelnaya_sborka_n_male_rg_58_5m_sma_male_.html" TargetMode="External"/><Relationship Id="rId560" Type="http://schemas.openxmlformats.org/officeDocument/2006/relationships/hyperlink" Target="https://radist.kz/products/lbq_450_polosovoy_filtr_uhf_diapazona.html" TargetMode="External"/><Relationship Id="rId92" Type="http://schemas.openxmlformats.org/officeDocument/2006/relationships/hyperlink" Target="http://radist.kz/products/RM-KL400.html" TargetMode="External"/><Relationship Id="rId213" Type="http://schemas.openxmlformats.org/officeDocument/2006/relationships/hyperlink" Target="http://radist.kz/products/Grozorazryadnik-0-6GGts-50Vt-UHF-M-UHF-F-tipa.html" TargetMode="External"/><Relationship Id="rId420" Type="http://schemas.openxmlformats.org/officeDocument/2006/relationships/hyperlink" Target="https://radist.kz/products/antenna_avtomobilnaya_sd_ml_145_mag.html" TargetMode="External"/><Relationship Id="rId616" Type="http://schemas.openxmlformats.org/officeDocument/2006/relationships/hyperlink" Target="https://radist.kz/products/mikrofon_dlya_radiostantsii_yosan_jc_650.html" TargetMode="External"/><Relationship Id="rId255" Type="http://schemas.openxmlformats.org/officeDocument/2006/relationships/hyperlink" Target="http://radist.kz/products/Sirio-SPO-420-5.html" TargetMode="External"/><Relationship Id="rId297" Type="http://schemas.openxmlformats.org/officeDocument/2006/relationships/hyperlink" Target="http://radist.kz/products/CB-2316.html" TargetMode="External"/><Relationship Id="rId462" Type="http://schemas.openxmlformats.org/officeDocument/2006/relationships/hyperlink" Target="https://radist.kz/products/antenna_wifi_krugovaya_antex_ax_2411r_11db_n_female.html" TargetMode="External"/><Relationship Id="rId518" Type="http://schemas.openxmlformats.org/officeDocument/2006/relationships/hyperlink" Target="http://radist.kz/products/x_keeper_invis_duos_gps_mayak_zakladka.html" TargetMode="External"/><Relationship Id="rId115" Type="http://schemas.openxmlformats.org/officeDocument/2006/relationships/hyperlink" Target="http://radist.kz/products/Pitgeyl-dlya-modemov-Huawei-i-ZTE-SMA-female-TS-9-uglovoy.html" TargetMode="External"/><Relationship Id="rId157" Type="http://schemas.openxmlformats.org/officeDocument/2006/relationships/hyperlink" Target="http://radist.kz/products/ES-602.html" TargetMode="External"/><Relationship Id="rId322" Type="http://schemas.openxmlformats.org/officeDocument/2006/relationships/hyperlink" Target="http://radist.kz/products/Lemm-AT-109.html" TargetMode="External"/><Relationship Id="rId364" Type="http://schemas.openxmlformats.org/officeDocument/2006/relationships/hyperlink" Target="http://radist.kz/products/kombayner_bc_gu_900_2100mgts.html" TargetMode="External"/><Relationship Id="rId61" Type="http://schemas.openxmlformats.org/officeDocument/2006/relationships/hyperlink" Target="http://radist.kz/products/Komplekt-dlya-usileniya-signala-4G-ALTEL-1.html" TargetMode="External"/><Relationship Id="rId199" Type="http://schemas.openxmlformats.org/officeDocument/2006/relationships/hyperlink" Target="http://radist.kz/products/Kabel-PC-3-USB.html" TargetMode="External"/><Relationship Id="rId571" Type="http://schemas.openxmlformats.org/officeDocument/2006/relationships/hyperlink" Target="https://radist.kz/products/antenna_cifra_4_komnatnaya_tv_dvb_t_dvb_t2.html" TargetMode="External"/><Relationship Id="rId627" Type="http://schemas.openxmlformats.org/officeDocument/2006/relationships/hyperlink" Target="https://radist.kz/products/garnitura_earphonic_er01dp28sb13_k_dlya_nosimykh_ratsiy_s_interfeysom_2_pin_k1.html" TargetMode="External"/><Relationship Id="rId19" Type="http://schemas.openxmlformats.org/officeDocument/2006/relationships/hyperlink" Target="http://radist.kz/products/Climbmax-EM-9703-para.html" TargetMode="External"/><Relationship Id="rId224" Type="http://schemas.openxmlformats.org/officeDocument/2006/relationships/hyperlink" Target="http://radist.kz/products/Garnitura-ECH-3070-s-uvelichennym-dinamikom.html" TargetMode="External"/><Relationship Id="rId266" Type="http://schemas.openxmlformats.org/officeDocument/2006/relationships/hyperlink" Target="http://radist.kz/products/Sirio-SY-27-4.html" TargetMode="External"/><Relationship Id="rId431" Type="http://schemas.openxmlformats.org/officeDocument/2006/relationships/hyperlink" Target="https://radist.kz/products/akkumulyator_qb_43l_dlya_r_s_anytone_at_318_at_318p_at_318uv.html" TargetMode="External"/><Relationship Id="rId473" Type="http://schemas.openxmlformats.org/officeDocument/2006/relationships/hyperlink" Target="https://radist.kz/products/preobrazovatel_napryazheniya_12_220v_hp_3000_3000_6000vatt.html" TargetMode="External"/><Relationship Id="rId529" Type="http://schemas.openxmlformats.org/officeDocument/2006/relationships/hyperlink" Target="http://radist.kz/products/gps_treker_sinotrack_st_901.html" TargetMode="External"/><Relationship Id="rId30" Type="http://schemas.openxmlformats.org/officeDocument/2006/relationships/hyperlink" Target="http://radist.kz/products/PUXING-PX-359.html" TargetMode="External"/><Relationship Id="rId126" Type="http://schemas.openxmlformats.org/officeDocument/2006/relationships/hyperlink" Target="http://radist.kz/products/Machta-teleskopicheskaya-MTP-10.html" TargetMode="External"/><Relationship Id="rId168" Type="http://schemas.openxmlformats.org/officeDocument/2006/relationships/hyperlink" Target="http://radist.kz/products/Konnektor-F-M-dlya-kabelya-RG-6U.html" TargetMode="External"/><Relationship Id="rId333" Type="http://schemas.openxmlformats.org/officeDocument/2006/relationships/hyperlink" Target="http://radist.kz/products/anytone_at_6000d.html" TargetMode="External"/><Relationship Id="rId540" Type="http://schemas.openxmlformats.org/officeDocument/2006/relationships/hyperlink" Target="https://radist.kz/products/ratsiya_avtomobilnaya_anytone_at_588.html" TargetMode="External"/><Relationship Id="rId72" Type="http://schemas.openxmlformats.org/officeDocument/2006/relationships/hyperlink" Target="http://radist.kz/products/AnyTone-AT-4100GD.html" TargetMode="External"/><Relationship Id="rId375" Type="http://schemas.openxmlformats.org/officeDocument/2006/relationships/hyperlink" Target="http://radist.kz/products/antenna_bazovaya_f_22.html" TargetMode="External"/><Relationship Id="rId582" Type="http://schemas.openxmlformats.org/officeDocument/2006/relationships/hyperlink" Target="https://radist.kz/products/avtomobilnaya_ratsiya_president_bill_ii_asc.html" TargetMode="External"/><Relationship Id="rId3" Type="http://schemas.openxmlformats.org/officeDocument/2006/relationships/hyperlink" Target="http://radist.kz/products/Yosan-PRO-110.html" TargetMode="External"/><Relationship Id="rId235" Type="http://schemas.openxmlformats.org/officeDocument/2006/relationships/hyperlink" Target="http://radist.kz/products/Garnitura-s-DTMF-upravleniem-dlya-radiostantsiy-AnyTone-AT-5189.html" TargetMode="External"/><Relationship Id="rId277" Type="http://schemas.openxmlformats.org/officeDocument/2006/relationships/hyperlink" Target="http://radist.kz/products/QX-001B.html" TargetMode="External"/><Relationship Id="rId400" Type="http://schemas.openxmlformats.org/officeDocument/2006/relationships/hyperlink" Target="http://radist.kz/products/nitsa_7_antenna_lte800_gsm900_1800_3g_4g_wifi.html" TargetMode="External"/><Relationship Id="rId442" Type="http://schemas.openxmlformats.org/officeDocument/2006/relationships/hyperlink" Target="https://radist.kz/products/podavitel_svyazi_portativnyy_jyt_160.html" TargetMode="External"/><Relationship Id="rId484" Type="http://schemas.openxmlformats.org/officeDocument/2006/relationships/hyperlink" Target="https://radist.kz/products/ratsiya_bazovaya_anytone_at_5555n.html" TargetMode="External"/><Relationship Id="rId137" Type="http://schemas.openxmlformats.org/officeDocument/2006/relationships/hyperlink" Target="http://radist.kz/products/Vilka-na-dve-antenny.html" TargetMode="External"/><Relationship Id="rId302" Type="http://schemas.openxmlformats.org/officeDocument/2006/relationships/hyperlink" Target="http://radist.kz/products/DB-201.html" TargetMode="External"/><Relationship Id="rId344" Type="http://schemas.openxmlformats.org/officeDocument/2006/relationships/hyperlink" Target="http://radist.kz/products/antenna_avtomobilnaya_lemm_at_1000_eagle.html" TargetMode="External"/><Relationship Id="rId41" Type="http://schemas.openxmlformats.org/officeDocument/2006/relationships/hyperlink" Target="http://radist.kz/products/ALINCO-DJ-A40.html" TargetMode="External"/><Relationship Id="rId83" Type="http://schemas.openxmlformats.org/officeDocument/2006/relationships/hyperlink" Target="http://radist.kz/products/8D-FB.html" TargetMode="External"/><Relationship Id="rId179" Type="http://schemas.openxmlformats.org/officeDocument/2006/relationships/hyperlink" Target="http://radist.kz/products/Konnektor-perekhodnik-SMA-F-N-F.html" TargetMode="External"/><Relationship Id="rId386" Type="http://schemas.openxmlformats.org/officeDocument/2006/relationships/hyperlink" Target="http://radist.kz/products/ratsiya_portativnaya_tsifrovaya_anytone_at_d868.html" TargetMode="External"/><Relationship Id="rId551" Type="http://schemas.openxmlformats.org/officeDocument/2006/relationships/hyperlink" Target="https://radist.kz/products/akkumulyator_bc_s400_dlya_r_s_starnet_s_400.html" TargetMode="External"/><Relationship Id="rId593" Type="http://schemas.openxmlformats.org/officeDocument/2006/relationships/hyperlink" Target="https://radist.kz/products/zaryadnoe_ustroystvo_kbc_t60_dlya_portativnoy_poc_radiostantsii_kirisun_t60_t65.html" TargetMode="External"/><Relationship Id="rId607" Type="http://schemas.openxmlformats.org/officeDocument/2006/relationships/hyperlink" Target="https://radist.kz/products/ratsiya_avtomobilnaya_anytone_at_505pro.html" TargetMode="External"/><Relationship Id="rId190" Type="http://schemas.openxmlformats.org/officeDocument/2006/relationships/hyperlink" Target="http://radist.kz/products/Otvetvitel-moshchnosti-QX-015B-5dB.html" TargetMode="External"/><Relationship Id="rId204" Type="http://schemas.openxmlformats.org/officeDocument/2006/relationships/hyperlink" Target="http://radist.kz/products/Antennoe-kreplenie-MT-3201.html" TargetMode="External"/><Relationship Id="rId246" Type="http://schemas.openxmlformats.org/officeDocument/2006/relationships/hyperlink" Target="http://radist.kz/products/Antenna-dlya-radiostantsiy-AnyTone-AT-288-AT-289-AT-289P.html" TargetMode="External"/><Relationship Id="rId288" Type="http://schemas.openxmlformats.org/officeDocument/2006/relationships/hyperlink" Target="http://radist.kz/products/DB-1203.html" TargetMode="External"/><Relationship Id="rId411" Type="http://schemas.openxmlformats.org/officeDocument/2006/relationships/hyperlink" Target="https://radist.kz/products/nitsa_5_mimo_2x2_antenna_lte800_gsm900_gsm1800_lte1800_umts900_umts2100_wifi_lte2600.html" TargetMode="External"/><Relationship Id="rId453" Type="http://schemas.openxmlformats.org/officeDocument/2006/relationships/hyperlink" Target="https://radist.kz/products/ekvivalent_nagruzki_dl_30a_.html" TargetMode="External"/><Relationship Id="rId509" Type="http://schemas.openxmlformats.org/officeDocument/2006/relationships/hyperlink" Target="https://radist.kz/products/ratsiya_avtomobilnaya_yosan_jc_650.html" TargetMode="External"/><Relationship Id="rId106" Type="http://schemas.openxmlformats.org/officeDocument/2006/relationships/hyperlink" Target="http://radist.kz/products/DC-15.html" TargetMode="External"/><Relationship Id="rId313" Type="http://schemas.openxmlformats.org/officeDocument/2006/relationships/hyperlink" Target="http://radist.kz/products/CB-145.html" TargetMode="External"/><Relationship Id="rId495" Type="http://schemas.openxmlformats.org/officeDocument/2006/relationships/hyperlink" Target="https://radist.kz/products/avtomobilnaya_sv_antenna_sirio_fighter_p_5000.html" TargetMode="External"/><Relationship Id="rId10" Type="http://schemas.openxmlformats.org/officeDocument/2006/relationships/hyperlink" Target="http://radist.kz/products/Yosan-JC-650Turbo.html" TargetMode="External"/><Relationship Id="rId52" Type="http://schemas.openxmlformats.org/officeDocument/2006/relationships/hyperlink" Target="http://radist.kz/products/AnyTone-AT-600.html" TargetMode="External"/><Relationship Id="rId94" Type="http://schemas.openxmlformats.org/officeDocument/2006/relationships/hyperlink" Target="http://radist.kz/products/RM-KL503.html" TargetMode="External"/><Relationship Id="rId148" Type="http://schemas.openxmlformats.org/officeDocument/2006/relationships/hyperlink" Target="http://radist.kz/products/ANTA-823.html" TargetMode="External"/><Relationship Id="rId355" Type="http://schemas.openxmlformats.org/officeDocument/2006/relationships/hyperlink" Target="http://radist.kz/products/machta_teleskopicheskaya_mtp_16.html" TargetMode="External"/><Relationship Id="rId397" Type="http://schemas.openxmlformats.org/officeDocument/2006/relationships/hyperlink" Target="http://radist.kz/products/antenna_avtomobilnaya_m150_sd90_.html" TargetMode="External"/><Relationship Id="rId520" Type="http://schemas.openxmlformats.org/officeDocument/2006/relationships/hyperlink" Target="https://radist.kz/products/garnitura_kme_032_dlya_poc_ratsiy_kirisun_t60_t65.html" TargetMode="External"/><Relationship Id="rId562" Type="http://schemas.openxmlformats.org/officeDocument/2006/relationships/hyperlink" Target="https://radist.kz/products/garnitura_m4_dlya_radiostantsiy_quesum_md10_md100.html" TargetMode="External"/><Relationship Id="rId618" Type="http://schemas.openxmlformats.org/officeDocument/2006/relationships/hyperlink" Target="https://radist.kz/products/mobilnaya_ratsiya_kirisun_m50_s_sim_kartoy_2g_3g_4g_wi_fi.html" TargetMode="External"/><Relationship Id="rId215" Type="http://schemas.openxmlformats.org/officeDocument/2006/relationships/hyperlink" Target="http://radist.kz/products/Kabel-pitaniya-zaryadnogo-ustroystva-ot-prikurivatelya.html" TargetMode="External"/><Relationship Id="rId257" Type="http://schemas.openxmlformats.org/officeDocument/2006/relationships/hyperlink" Target="http://radist.kz/products/BS-102.html" TargetMode="External"/><Relationship Id="rId422" Type="http://schemas.openxmlformats.org/officeDocument/2006/relationships/hyperlink" Target="https://radist.kz/products/antenna_bazovaya_sdbf2_5.html" TargetMode="External"/><Relationship Id="rId464" Type="http://schemas.openxmlformats.org/officeDocument/2006/relationships/hyperlink" Target="https://radist.kz/products/zeta_mimo_shirokopolosnaya_panelnaya_antenna_2g_3g_4g_wifi_17_20dbi.html" TargetMode="External"/><Relationship Id="rId299" Type="http://schemas.openxmlformats.org/officeDocument/2006/relationships/hyperlink" Target="http://radist.kz/products/DB-201M.html" TargetMode="External"/><Relationship Id="rId63" Type="http://schemas.openxmlformats.org/officeDocument/2006/relationships/hyperlink" Target="http://radist.kz/products/ClearCast-MD-45.html" TargetMode="External"/><Relationship Id="rId159" Type="http://schemas.openxmlformats.org/officeDocument/2006/relationships/hyperlink" Target="http://radist.kz/products/MultiPower-AA-MP-2000mAh.html" TargetMode="External"/><Relationship Id="rId366" Type="http://schemas.openxmlformats.org/officeDocument/2006/relationships/hyperlink" Target="http://radist.kz/products/akkumulyator_th_1400.html" TargetMode="External"/><Relationship Id="rId573" Type="http://schemas.openxmlformats.org/officeDocument/2006/relationships/hyperlink" Target="https://radist.kz/products/vika_21f_mimo_setchataya_parabolicheskaya_antenna_lte1800_lte2100_umts2100_lte2600.html" TargetMode="External"/><Relationship Id="rId226" Type="http://schemas.openxmlformats.org/officeDocument/2006/relationships/hyperlink" Target="http://radist.kz/products/Garnitura-skrytogo-nosheniya-ACH4040-s-prozrachnym-vozdukhovodom.html" TargetMode="External"/><Relationship Id="rId433" Type="http://schemas.openxmlformats.org/officeDocument/2006/relationships/hyperlink" Target="http://radist.kz/products/QB-37L-QB-26LH.html" TargetMode="External"/><Relationship Id="rId74" Type="http://schemas.openxmlformats.org/officeDocument/2006/relationships/hyperlink" Target="http://radist.kz/products/AnyTone-AT-6200GD.html" TargetMode="External"/><Relationship Id="rId377" Type="http://schemas.openxmlformats.org/officeDocument/2006/relationships/hyperlink" Target="http://radist.kz/products/antenna_avtomobilnaya_sd_t638.html" TargetMode="External"/><Relationship Id="rId500" Type="http://schemas.openxmlformats.org/officeDocument/2006/relationships/hyperlink" Target="https://radist.kz/products/vch_razem_bnc_m_dlya_kabelya_rg_213_rg_214_lmr_400_rg_8_pod_payku.html" TargetMode="External"/><Relationship Id="rId584" Type="http://schemas.openxmlformats.org/officeDocument/2006/relationships/hyperlink" Target="https://radist.kz/products/antennyy_analizator_rigexpert_aa_2000_zoom.html" TargetMode="External"/><Relationship Id="rId5" Type="http://schemas.openxmlformats.org/officeDocument/2006/relationships/hyperlink" Target="http://radist.kz/products/Yosan-CB-300.html" TargetMode="External"/><Relationship Id="rId237" Type="http://schemas.openxmlformats.org/officeDocument/2006/relationships/hyperlink" Target="http://radist.kz/products/Derzhatel-tangenty.html" TargetMode="External"/><Relationship Id="rId444" Type="http://schemas.openxmlformats.org/officeDocument/2006/relationships/hyperlink" Target="https://radist.kz/products/podavitel_svyazi_jyt_870.html" TargetMode="External"/><Relationship Id="rId290" Type="http://schemas.openxmlformats.org/officeDocument/2006/relationships/hyperlink" Target="http://radist.kz/products/DB-1410VHF.html" TargetMode="External"/><Relationship Id="rId304" Type="http://schemas.openxmlformats.org/officeDocument/2006/relationships/hyperlink" Target="http://radist.kz/products/CB-2315.html" TargetMode="External"/><Relationship Id="rId388" Type="http://schemas.openxmlformats.org/officeDocument/2006/relationships/hyperlink" Target="http://radist.kz/products/antenna_gsm900_triada_935_sota.html" TargetMode="External"/><Relationship Id="rId511" Type="http://schemas.openxmlformats.org/officeDocument/2006/relationships/hyperlink" Target="https://radist.kz/products/ratsiya_avtomobilnaya_luiton_lt_590.html" TargetMode="External"/><Relationship Id="rId609" Type="http://schemas.openxmlformats.org/officeDocument/2006/relationships/hyperlink" Target="https://radist.kz/products/mikrofon_dlya_radiostantsiy_anytone_at_588.html" TargetMode="External"/><Relationship Id="rId85" Type="http://schemas.openxmlformats.org/officeDocument/2006/relationships/hyperlink" Target="http://radist.kz/products/RM-KL-60.html" TargetMode="External"/><Relationship Id="rId150" Type="http://schemas.openxmlformats.org/officeDocument/2006/relationships/hyperlink" Target="http://radist.kz/products/Nissei-RS-40.html" TargetMode="External"/><Relationship Id="rId595" Type="http://schemas.openxmlformats.org/officeDocument/2006/relationships/hyperlink" Target="https://radist.kz/products/splitter_axd_3.html" TargetMode="External"/><Relationship Id="rId248" Type="http://schemas.openxmlformats.org/officeDocument/2006/relationships/hyperlink" Target="http://radist.kz/products/Ukorochennaya-antenna-dlya-radiostantsii-AnyTone-AT-628G.html" TargetMode="External"/><Relationship Id="rId455" Type="http://schemas.openxmlformats.org/officeDocument/2006/relationships/hyperlink" Target="https://radist.kz/products/avtomobilnaya_ratsiya_anytone_at_888_u.html" TargetMode="External"/><Relationship Id="rId12" Type="http://schemas.openxmlformats.org/officeDocument/2006/relationships/hyperlink" Target="http://radist.kz/products/Yosan-CB-100.html" TargetMode="External"/><Relationship Id="rId108" Type="http://schemas.openxmlformats.org/officeDocument/2006/relationships/hyperlink" Target="http://radist.kz/products/DC-20.html" TargetMode="External"/><Relationship Id="rId315" Type="http://schemas.openxmlformats.org/officeDocument/2006/relationships/hyperlink" Target="http://radist.kz/products/Sirio-Super-Carbonium-27.html" TargetMode="External"/><Relationship Id="rId522" Type="http://schemas.openxmlformats.org/officeDocument/2006/relationships/hyperlink" Target="https://radist.kz/products/antenna_bazovaya_napravlennaya_ax_410y_430_470_mgts.html" TargetMode="External"/><Relationship Id="rId96" Type="http://schemas.openxmlformats.org/officeDocument/2006/relationships/hyperlink" Target="http://radist.kz/products/RM-KL-505.html" TargetMode="External"/><Relationship Id="rId161" Type="http://schemas.openxmlformats.org/officeDocument/2006/relationships/hyperlink" Target="http://radist.kz/products/Adapter-dlya-portativnykh-radiostantsiy-CPS-11.html" TargetMode="External"/><Relationship Id="rId399" Type="http://schemas.openxmlformats.org/officeDocument/2006/relationships/hyperlink" Target="http://radist.kz/products/kronshteyn_stenovoy_ks_240.html" TargetMode="External"/><Relationship Id="rId259" Type="http://schemas.openxmlformats.org/officeDocument/2006/relationships/hyperlink" Target="http://radist.kz/products/BS-101V.html" TargetMode="External"/><Relationship Id="rId466" Type="http://schemas.openxmlformats.org/officeDocument/2006/relationships/hyperlink" Target="https://radist.kz/products/gruppovoe_zaryadnoe_ustroystvo_na_6_akkumulyatorov_dlya_luiton_lt_316.html" TargetMode="External"/><Relationship Id="rId23" Type="http://schemas.openxmlformats.org/officeDocument/2006/relationships/hyperlink" Target="http://radist.kz/products/Baofeng-UV-5R.html" TargetMode="External"/><Relationship Id="rId119" Type="http://schemas.openxmlformats.org/officeDocument/2006/relationships/hyperlink" Target="http://radist.kz/products/Kabelnaya-sborka-N-male-RG-58-10m-SMA-male.html" TargetMode="External"/><Relationship Id="rId326" Type="http://schemas.openxmlformats.org/officeDocument/2006/relationships/hyperlink" Target="http://radist.kz/products/pb_33l.html" TargetMode="External"/><Relationship Id="rId533" Type="http://schemas.openxmlformats.org/officeDocument/2006/relationships/hyperlink" Target="https://radist.kz/products/gps_treker_sinotrack_st_915.html" TargetMode="External"/><Relationship Id="rId172" Type="http://schemas.openxmlformats.org/officeDocument/2006/relationships/hyperlink" Target="http://radist.kz/products/Konnektor-PL259-pod-payku-dlya-RG213.html" TargetMode="External"/><Relationship Id="rId477" Type="http://schemas.openxmlformats.org/officeDocument/2006/relationships/hyperlink" Target="https://radist.kz/products/antenna_bazovaya_f_23.html" TargetMode="External"/><Relationship Id="rId600" Type="http://schemas.openxmlformats.org/officeDocument/2006/relationships/hyperlink" Target="https://radist.kz/products/ratsiya_portativnaya_sv_27mgts_president_jerry_.html" TargetMode="External"/><Relationship Id="rId337" Type="http://schemas.openxmlformats.org/officeDocument/2006/relationships/hyperlink" Target="http://radist.kz/products/ratsiya_portativnaya_anytone_at_398uv.html" TargetMode="External"/><Relationship Id="rId34" Type="http://schemas.openxmlformats.org/officeDocument/2006/relationships/hyperlink" Target="http://radist.kz/products/AnyTone-AT-289-U.html" TargetMode="External"/><Relationship Id="rId544" Type="http://schemas.openxmlformats.org/officeDocument/2006/relationships/hyperlink" Target="https://radist.kz/products/shtyr_dlya_antenny_1_8kh3kh1100_mm.html" TargetMode="External"/><Relationship Id="rId183" Type="http://schemas.openxmlformats.org/officeDocument/2006/relationships/hyperlink" Target="http://radist.kz/products/Konnektor-perekhodnik-N-M-F-F-dlya-kabelya-RG-6U.html" TargetMode="External"/><Relationship Id="rId390" Type="http://schemas.openxmlformats.org/officeDocument/2006/relationships/hyperlink" Target="http://radist.kz/products/antenna_avtomobilnaya_438u_sd90_460.html" TargetMode="External"/><Relationship Id="rId404" Type="http://schemas.openxmlformats.org/officeDocument/2006/relationships/hyperlink" Target="http://radist.kz/products/ratsiya_avtomobilnaya_luiton_lt_298.html" TargetMode="External"/><Relationship Id="rId611" Type="http://schemas.openxmlformats.org/officeDocument/2006/relationships/hyperlink" Target="https://radist.kz/products/mikrofon_dlya_radiostantsii_anytone_at_888.html" TargetMode="External"/><Relationship Id="rId250" Type="http://schemas.openxmlformats.org/officeDocument/2006/relationships/hyperlink" Target="http://radist.kz/products/Gibkaya-antenna-dlya-radiostantsii-AnyTone-AT-3318UV.html" TargetMode="External"/><Relationship Id="rId488" Type="http://schemas.openxmlformats.org/officeDocument/2006/relationships/hyperlink" Target="https://radist.kz/products/ax_1800_offset_mimo_2x2_ofsetnyy_obluchatel_4g_lte1800.html" TargetMode="External"/><Relationship Id="rId45" Type="http://schemas.openxmlformats.org/officeDocument/2006/relationships/hyperlink" Target="http://radist.kz/products/ALINCO-DX-SR8.html" TargetMode="External"/><Relationship Id="rId110" Type="http://schemas.openxmlformats.org/officeDocument/2006/relationships/hyperlink" Target="http://radist.kz/products/DC-40.html" TargetMode="External"/><Relationship Id="rId348" Type="http://schemas.openxmlformats.org/officeDocument/2006/relationships/hyperlink" Target="http://radist.kz/products/antenna_avtomobilnaya_cb_2351.html" TargetMode="External"/><Relationship Id="rId555" Type="http://schemas.openxmlformats.org/officeDocument/2006/relationships/hyperlink" Target="https://radist.kz/products/antenna_bazovaya_diskokonusnaya_d_130.html" TargetMode="External"/><Relationship Id="rId194" Type="http://schemas.openxmlformats.org/officeDocument/2006/relationships/hyperlink" Target="http://radist.kz/products/CHekhol-kozhanyy-dlya-PX-359-EM-9735.html" TargetMode="External"/><Relationship Id="rId208" Type="http://schemas.openxmlformats.org/officeDocument/2006/relationships/hyperlink" Target="http://radist.kz/products/Skoba-krepleniya-antenny-na-vodostok-Sirio-KF-Black.html" TargetMode="External"/><Relationship Id="rId415" Type="http://schemas.openxmlformats.org/officeDocument/2006/relationships/hyperlink" Target="https://radist.kz/products/antennyy_analizator_rigexpert_aa_55_zoom.html" TargetMode="External"/><Relationship Id="rId622" Type="http://schemas.openxmlformats.org/officeDocument/2006/relationships/hyperlink" Target="https://radist.kz/products/portativnaya_ratsiya_quansheng_tk11_5_.html" TargetMode="External"/><Relationship Id="rId261" Type="http://schemas.openxmlformats.org/officeDocument/2006/relationships/hyperlink" Target="http://radist.kz/products/BS-201.html" TargetMode="External"/><Relationship Id="rId499" Type="http://schemas.openxmlformats.org/officeDocument/2006/relationships/hyperlink" Target="https://radist.kz/products/vch_razem_tnc_m_dlya_kabelya_rg_213_rg_214_lmr_400_rg_8_pod_payku.html" TargetMode="External"/><Relationship Id="rId56" Type="http://schemas.openxmlformats.org/officeDocument/2006/relationships/hyperlink" Target="http://radist.kz/products/AnyTone-AT-400C.html" TargetMode="External"/><Relationship Id="rId359" Type="http://schemas.openxmlformats.org/officeDocument/2006/relationships/hyperlink" Target="http://radist.kz/products/repiter_gsm_signala_anytone_at_600_turbo.html" TargetMode="External"/><Relationship Id="rId566" Type="http://schemas.openxmlformats.org/officeDocument/2006/relationships/hyperlink" Target="https://radist.kz/products/antenna_agata_2f_mimo_2x2_2g_3g_4g_wifi.html" TargetMode="External"/><Relationship Id="rId121" Type="http://schemas.openxmlformats.org/officeDocument/2006/relationships/hyperlink" Target="http://radist.kz/GSM-shlyuzyi.html" TargetMode="External"/><Relationship Id="rId219" Type="http://schemas.openxmlformats.org/officeDocument/2006/relationships/hyperlink" Target="http://radist.kz/products/Garnitura-universalnaya-s-vynosnoy-knopkoy-EAR-6.html" TargetMode="External"/><Relationship Id="rId426" Type="http://schemas.openxmlformats.org/officeDocument/2006/relationships/hyperlink" Target="https://radist.kz/products/invertor_avtomobilnyy_hps_300_300_900vatt.html" TargetMode="External"/><Relationship Id="rId633" Type="http://schemas.openxmlformats.org/officeDocument/2006/relationships/hyperlink" Target="https://radist.kz/products/akkumulyator_bc_s100_dlya_r_s_starnet_s_100.html" TargetMode="External"/><Relationship Id="rId67" Type="http://schemas.openxmlformats.org/officeDocument/2006/relationships/hyperlink" Target="http://radist.kz/products/AnyTone-AT-4100GW.html" TargetMode="External"/><Relationship Id="rId272" Type="http://schemas.openxmlformats.org/officeDocument/2006/relationships/hyperlink" Target="http://radist.kz/products/IA-GU2.html" TargetMode="External"/><Relationship Id="rId577" Type="http://schemas.openxmlformats.org/officeDocument/2006/relationships/hyperlink" Target="https://radist.kz/products/ukv_retranslyator_dmr_tsifrovoy_anytone_r780_v.html" TargetMode="External"/><Relationship Id="rId132" Type="http://schemas.openxmlformats.org/officeDocument/2006/relationships/hyperlink" Target="http://radist.kz/products/Machta-alyuminievaya-MA-6.html" TargetMode="External"/><Relationship Id="rId437" Type="http://schemas.openxmlformats.org/officeDocument/2006/relationships/hyperlink" Target="https://radist.kz/products/sd_xd3_antenna_vnutrennyaya_698_2700mhz.html" TargetMode="External"/><Relationship Id="rId283" Type="http://schemas.openxmlformats.org/officeDocument/2006/relationships/hyperlink" Target="http://radist.kz/products/QX-002B.html" TargetMode="External"/><Relationship Id="rId490" Type="http://schemas.openxmlformats.org/officeDocument/2006/relationships/hyperlink" Target="https://radist.kz/products/avtomobilnaya_ratsiya_president_bill_asc.html" TargetMode="External"/><Relationship Id="rId504" Type="http://schemas.openxmlformats.org/officeDocument/2006/relationships/hyperlink" Target="https://radist.kz/products/vch_razem_n_male_dlya_kabelya_rg_58_pod_obzhim.html" TargetMode="External"/><Relationship Id="rId78" Type="http://schemas.openxmlformats.org/officeDocument/2006/relationships/hyperlink" Target="http://radist.kz/products/ClearCast-CU-30.html" TargetMode="External"/><Relationship Id="rId143" Type="http://schemas.openxmlformats.org/officeDocument/2006/relationships/hyperlink" Target="http://radist.kz/products/MiWi-S-120-12.html" TargetMode="External"/><Relationship Id="rId350" Type="http://schemas.openxmlformats.org/officeDocument/2006/relationships/hyperlink" Target="http://radist.kz/products/repiter_3g_4g_signala_nextivity_cel_fi_pro_besprovodnoy.html" TargetMode="External"/><Relationship Id="rId588" Type="http://schemas.openxmlformats.org/officeDocument/2006/relationships/hyperlink" Target="https://radist.kz/products/ratsiya_portativnaya_quansheng_uv_k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2C03E-0D55-4392-A554-AC1A873688D2}">
  <sheetPr codeName="Лист1"/>
  <dimension ref="A1"/>
  <sheetViews>
    <sheetView workbookViewId="0"/>
  </sheetViews>
  <sheetFormatPr defaultRowHeight="10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A40F3-C51D-473C-B69F-7C165A3BFE1B}">
  <sheetPr codeName="Лист2"/>
  <dimension ref="A1:K816"/>
  <sheetViews>
    <sheetView tabSelected="1" topLeftCell="B1" zoomScaleNormal="100" workbookViewId="0">
      <selection activeCell="H13" sqref="H13"/>
    </sheetView>
  </sheetViews>
  <sheetFormatPr defaultColWidth="10.33203125" defaultRowHeight="10" x14ac:dyDescent="0.2"/>
  <cols>
    <col min="1" max="1" width="15" style="123" hidden="1" customWidth="1"/>
    <col min="2" max="2" width="2.44140625" customWidth="1"/>
    <col min="3" max="3" width="93.44140625" style="6" customWidth="1"/>
    <col min="4" max="4" width="11.109375" style="16" customWidth="1"/>
    <col min="5" max="5" width="11.33203125" style="14" customWidth="1"/>
    <col min="6" max="6" width="11.44140625" style="36" hidden="1" customWidth="1"/>
    <col min="7" max="7" width="10.109375" style="36" hidden="1" customWidth="1"/>
    <col min="8" max="8" width="35.109375" style="155" customWidth="1"/>
  </cols>
  <sheetData>
    <row r="1" spans="2:11" x14ac:dyDescent="0.2">
      <c r="C1" s="90"/>
    </row>
    <row r="2" spans="2:11" x14ac:dyDescent="0.2">
      <c r="B2" s="91"/>
      <c r="C2" s="92"/>
    </row>
    <row r="3" spans="2:11" ht="25" x14ac:dyDescent="0.5">
      <c r="C3" s="1"/>
    </row>
    <row r="4" spans="2:11" ht="12.5" x14ac:dyDescent="0.25">
      <c r="C4" s="2"/>
    </row>
    <row r="5" spans="2:11" ht="12.5" x14ac:dyDescent="0.25">
      <c r="C5" s="2"/>
      <c r="J5" s="121"/>
      <c r="K5" s="121"/>
    </row>
    <row r="6" spans="2:11" ht="12.5" x14ac:dyDescent="0.25">
      <c r="C6" s="2"/>
    </row>
    <row r="7" spans="2:11" ht="12.5" x14ac:dyDescent="0.25">
      <c r="C7" s="21"/>
      <c r="D7" s="19"/>
    </row>
    <row r="8" spans="2:11" ht="13" x14ac:dyDescent="0.3">
      <c r="C8" s="20"/>
      <c r="D8" s="99"/>
    </row>
    <row r="9" spans="2:11" ht="12.5" x14ac:dyDescent="0.25">
      <c r="C9" s="3"/>
      <c r="D9" s="19"/>
    </row>
    <row r="10" spans="2:11" ht="13" hidden="1" x14ac:dyDescent="0.3">
      <c r="C10" s="18"/>
      <c r="D10" s="118">
        <v>545</v>
      </c>
      <c r="E10" s="119">
        <v>0</v>
      </c>
      <c r="F10" s="120">
        <v>545</v>
      </c>
    </row>
    <row r="11" spans="2:11" ht="7.5" customHeight="1" thickBot="1" x14ac:dyDescent="0.25"/>
    <row r="12" spans="2:11" ht="11.5" x14ac:dyDescent="0.2">
      <c r="C12" s="50" t="s">
        <v>0</v>
      </c>
      <c r="D12" s="48" t="s">
        <v>9</v>
      </c>
      <c r="E12" s="48"/>
      <c r="F12" s="49" t="s">
        <v>9</v>
      </c>
      <c r="G12" s="49" t="s">
        <v>4</v>
      </c>
    </row>
    <row r="13" spans="2:11" ht="12.75" customHeight="1" thickBot="1" x14ac:dyDescent="0.25">
      <c r="C13" s="11" t="s">
        <v>10</v>
      </c>
      <c r="D13" s="17" t="s">
        <v>17</v>
      </c>
      <c r="E13" s="17"/>
      <c r="F13" s="37" t="s">
        <v>18</v>
      </c>
      <c r="G13" s="37" t="s">
        <v>18</v>
      </c>
    </row>
    <row r="14" spans="2:11" ht="15.75" customHeight="1" x14ac:dyDescent="0.2">
      <c r="C14" s="216" t="s">
        <v>370</v>
      </c>
      <c r="D14" s="217"/>
      <c r="E14" s="217"/>
      <c r="F14" s="217"/>
      <c r="G14" s="218"/>
    </row>
    <row r="15" spans="2:11" ht="13.5" customHeight="1" x14ac:dyDescent="0.2">
      <c r="C15" s="189" t="s">
        <v>1</v>
      </c>
      <c r="D15" s="190"/>
      <c r="E15" s="190"/>
      <c r="F15" s="190"/>
      <c r="G15" s="191"/>
    </row>
    <row r="16" spans="2:11" ht="10.15" hidden="1" customHeight="1" x14ac:dyDescent="0.2">
      <c r="C16" s="4" t="s">
        <v>2</v>
      </c>
      <c r="D16" s="13">
        <v>14850</v>
      </c>
      <c r="E16" s="15">
        <v>11000</v>
      </c>
      <c r="F16" s="38">
        <v>11000</v>
      </c>
      <c r="G16" s="38">
        <v>11000</v>
      </c>
    </row>
    <row r="17" spans="1:8" ht="10.15" customHeight="1" x14ac:dyDescent="0.2">
      <c r="A17" s="123">
        <v>1046090425</v>
      </c>
      <c r="C17" s="84" t="s">
        <v>772</v>
      </c>
      <c r="D17" s="12">
        <f t="shared" ref="D17:D24" si="0">F17*$D$10</f>
        <v>9210.5</v>
      </c>
      <c r="E17" s="12"/>
      <c r="F17" s="45">
        <v>16.899999999999999</v>
      </c>
      <c r="G17" s="38">
        <v>13.49</v>
      </c>
      <c r="H17" s="154"/>
    </row>
    <row r="18" spans="1:8" s="5" customFormat="1" ht="11.25" customHeight="1" x14ac:dyDescent="0.2">
      <c r="A18" s="124">
        <v>1655190819</v>
      </c>
      <c r="B18" s="78"/>
      <c r="C18" s="85" t="s">
        <v>534</v>
      </c>
      <c r="D18" s="12">
        <f t="shared" si="0"/>
        <v>8627.35</v>
      </c>
      <c r="E18" s="12"/>
      <c r="F18" s="39">
        <v>15.83</v>
      </c>
      <c r="G18" s="38">
        <v>12.67</v>
      </c>
      <c r="H18" s="154"/>
    </row>
    <row r="19" spans="1:8" s="9" customFormat="1" ht="10.5" x14ac:dyDescent="0.2">
      <c r="A19" s="125">
        <v>1545080620</v>
      </c>
      <c r="B19" s="75"/>
      <c r="C19" s="85" t="s">
        <v>549</v>
      </c>
      <c r="D19" s="12">
        <f t="shared" si="0"/>
        <v>8627.35</v>
      </c>
      <c r="E19" s="12"/>
      <c r="F19" s="39">
        <v>15.83</v>
      </c>
      <c r="G19" s="38">
        <v>12.67</v>
      </c>
      <c r="H19" s="154"/>
    </row>
    <row r="20" spans="1:8" s="9" customFormat="1" hidden="1" x14ac:dyDescent="0.2">
      <c r="A20" s="125">
        <v>1</v>
      </c>
      <c r="B20" s="75"/>
      <c r="C20" s="84" t="s">
        <v>543</v>
      </c>
      <c r="D20" s="12">
        <f t="shared" si="0"/>
        <v>11990</v>
      </c>
      <c r="E20" s="12"/>
      <c r="F20" s="39">
        <v>22</v>
      </c>
      <c r="G20" s="38">
        <v>17</v>
      </c>
      <c r="H20" s="155"/>
    </row>
    <row r="21" spans="1:8" s="5" customFormat="1" ht="11.25" hidden="1" customHeight="1" x14ac:dyDescent="0.2">
      <c r="A21" s="124">
        <v>2</v>
      </c>
      <c r="B21" s="78"/>
      <c r="C21" s="85" t="s">
        <v>425</v>
      </c>
      <c r="D21" s="12">
        <f t="shared" si="0"/>
        <v>26061.9</v>
      </c>
      <c r="E21" s="12"/>
      <c r="F21" s="39">
        <v>47.82</v>
      </c>
      <c r="G21" s="38">
        <v>36.229999999999997</v>
      </c>
      <c r="H21" s="154"/>
    </row>
    <row r="22" spans="1:8" s="5" customFormat="1" ht="11.25" customHeight="1" x14ac:dyDescent="0.2">
      <c r="A22" s="124">
        <v>1432080620</v>
      </c>
      <c r="B22" s="78"/>
      <c r="C22" s="85" t="s">
        <v>541</v>
      </c>
      <c r="D22" s="12">
        <f t="shared" si="0"/>
        <v>8627.35</v>
      </c>
      <c r="E22" s="12"/>
      <c r="F22" s="39">
        <v>15.83</v>
      </c>
      <c r="G22" s="38">
        <v>12.67</v>
      </c>
      <c r="H22" s="154"/>
    </row>
    <row r="23" spans="1:8" ht="10.5" hidden="1" x14ac:dyDescent="0.2">
      <c r="A23" s="124">
        <v>18</v>
      </c>
      <c r="B23" s="79"/>
      <c r="C23" s="76" t="s">
        <v>361</v>
      </c>
      <c r="D23" s="12">
        <f t="shared" si="0"/>
        <v>23980</v>
      </c>
      <c r="E23" s="12"/>
      <c r="F23" s="39">
        <v>44</v>
      </c>
      <c r="G23" s="38">
        <v>35.299999999999997</v>
      </c>
      <c r="H23" s="154"/>
    </row>
    <row r="24" spans="1:8" ht="10.5" hidden="1" x14ac:dyDescent="0.2">
      <c r="A24" s="125">
        <v>15</v>
      </c>
      <c r="B24" s="79"/>
      <c r="C24" s="76" t="s">
        <v>364</v>
      </c>
      <c r="D24" s="12">
        <f t="shared" si="0"/>
        <v>23980</v>
      </c>
      <c r="E24" s="12"/>
      <c r="F24" s="39">
        <v>44</v>
      </c>
      <c r="G24" s="38">
        <v>35.299999999999997</v>
      </c>
      <c r="H24" s="154"/>
    </row>
    <row r="25" spans="1:8" s="5" customFormat="1" ht="12.75" customHeight="1" x14ac:dyDescent="0.2">
      <c r="A25" s="124">
        <v>1448230125</v>
      </c>
      <c r="B25" s="78"/>
      <c r="C25" s="100" t="s">
        <v>785</v>
      </c>
      <c r="D25" s="12">
        <f>F25*$D$10</f>
        <v>29026.7</v>
      </c>
      <c r="E25" s="12"/>
      <c r="F25" s="39">
        <v>53.26</v>
      </c>
      <c r="G25" s="38">
        <v>44.38</v>
      </c>
      <c r="H25" s="154"/>
    </row>
    <row r="26" spans="1:8" s="9" customFormat="1" ht="11.25" hidden="1" customHeight="1" x14ac:dyDescent="0.2">
      <c r="A26" s="125">
        <v>1156180418</v>
      </c>
      <c r="B26" s="75"/>
      <c r="C26" s="85" t="s">
        <v>596</v>
      </c>
      <c r="D26" s="12">
        <f t="shared" ref="D26:D59" si="1">F26*$D$10</f>
        <v>35534</v>
      </c>
      <c r="E26" s="12"/>
      <c r="F26" s="39">
        <v>65.2</v>
      </c>
      <c r="G26" s="38">
        <v>52.2</v>
      </c>
      <c r="H26" s="154"/>
    </row>
    <row r="27" spans="1:8" s="9" customFormat="1" hidden="1" x14ac:dyDescent="0.2">
      <c r="A27" s="125">
        <v>3</v>
      </c>
      <c r="B27" s="75"/>
      <c r="C27" s="173" t="s">
        <v>441</v>
      </c>
      <c r="D27" s="101">
        <f>F27*$D$10</f>
        <v>38051.899999999994</v>
      </c>
      <c r="E27" s="101"/>
      <c r="F27" s="110">
        <v>69.819999999999993</v>
      </c>
      <c r="G27" s="102">
        <v>56.600999999999999</v>
      </c>
      <c r="H27" s="155"/>
    </row>
    <row r="28" spans="1:8" s="9" customFormat="1" ht="10.5" x14ac:dyDescent="0.2">
      <c r="A28" s="125">
        <v>1746260525</v>
      </c>
      <c r="B28" s="75"/>
      <c r="C28" s="179" t="s">
        <v>779</v>
      </c>
      <c r="D28" s="12">
        <f>F28*$D$10</f>
        <v>37496</v>
      </c>
      <c r="E28" s="12"/>
      <c r="F28" s="39">
        <v>68.8</v>
      </c>
      <c r="G28" s="38">
        <v>55.42</v>
      </c>
      <c r="H28" s="154"/>
    </row>
    <row r="29" spans="1:8" s="9" customFormat="1" ht="10.5" hidden="1" x14ac:dyDescent="0.2">
      <c r="A29" s="125">
        <v>1546211118</v>
      </c>
      <c r="B29" s="75"/>
      <c r="C29" s="54" t="s">
        <v>597</v>
      </c>
      <c r="D29" s="12">
        <f t="shared" si="1"/>
        <v>39534.300000000003</v>
      </c>
      <c r="E29" s="12"/>
      <c r="F29" s="39">
        <v>72.540000000000006</v>
      </c>
      <c r="G29" s="38">
        <v>59</v>
      </c>
      <c r="H29" s="154"/>
    </row>
    <row r="30" spans="1:8" s="9" customFormat="1" ht="10.5" hidden="1" x14ac:dyDescent="0.2">
      <c r="A30" s="125">
        <v>4</v>
      </c>
      <c r="B30" s="75"/>
      <c r="C30" s="76" t="s">
        <v>601</v>
      </c>
      <c r="D30" s="12">
        <f t="shared" si="1"/>
        <v>42237.5</v>
      </c>
      <c r="E30" s="12"/>
      <c r="F30" s="39">
        <v>77.5</v>
      </c>
      <c r="G30" s="38">
        <v>62</v>
      </c>
      <c r="H30" s="154"/>
    </row>
    <row r="31" spans="1:8" s="9" customFormat="1" ht="10.15" hidden="1" customHeight="1" x14ac:dyDescent="0.2">
      <c r="A31" s="125">
        <v>5</v>
      </c>
      <c r="B31" s="75"/>
      <c r="C31" s="77" t="s">
        <v>3</v>
      </c>
      <c r="D31" s="12">
        <f t="shared" si="1"/>
        <v>38259</v>
      </c>
      <c r="E31" s="12"/>
      <c r="F31" s="39">
        <v>70.2</v>
      </c>
      <c r="G31" s="38"/>
      <c r="H31" s="155"/>
    </row>
    <row r="32" spans="1:8" s="9" customFormat="1" ht="10.15" hidden="1" customHeight="1" x14ac:dyDescent="0.2">
      <c r="A32" s="124">
        <v>6</v>
      </c>
      <c r="B32" s="75"/>
      <c r="C32" s="77" t="s">
        <v>5</v>
      </c>
      <c r="D32" s="12">
        <f t="shared" si="1"/>
        <v>39534.300000000003</v>
      </c>
      <c r="E32" s="12"/>
      <c r="F32" s="39">
        <v>72.540000000000006</v>
      </c>
      <c r="G32" s="38"/>
      <c r="H32" s="155"/>
    </row>
    <row r="33" spans="1:8" s="9" customFormat="1" hidden="1" x14ac:dyDescent="0.2">
      <c r="A33" s="125">
        <v>7</v>
      </c>
      <c r="B33" s="75"/>
      <c r="C33" s="76" t="s">
        <v>371</v>
      </c>
      <c r="D33" s="12">
        <f t="shared" si="1"/>
        <v>40493.5</v>
      </c>
      <c r="E33" s="12"/>
      <c r="F33" s="39">
        <v>74.3</v>
      </c>
      <c r="G33" s="38">
        <v>59.44</v>
      </c>
      <c r="H33" s="155"/>
    </row>
    <row r="34" spans="1:8" s="9" customFormat="1" ht="11.25" hidden="1" customHeight="1" x14ac:dyDescent="0.2">
      <c r="A34" s="125">
        <v>8</v>
      </c>
      <c r="B34" s="75"/>
      <c r="C34" s="77" t="s">
        <v>6</v>
      </c>
      <c r="D34" s="12">
        <f t="shared" si="1"/>
        <v>57388.5</v>
      </c>
      <c r="E34" s="12"/>
      <c r="F34" s="39">
        <v>105.3</v>
      </c>
      <c r="G34" s="38">
        <v>84.66</v>
      </c>
      <c r="H34" s="155"/>
    </row>
    <row r="35" spans="1:8" s="9" customFormat="1" hidden="1" x14ac:dyDescent="0.2">
      <c r="A35" s="125">
        <v>9</v>
      </c>
      <c r="B35" s="75"/>
      <c r="C35" s="76" t="s">
        <v>372</v>
      </c>
      <c r="D35" s="12">
        <f t="shared" si="1"/>
        <v>40299.480000000003</v>
      </c>
      <c r="E35" s="12"/>
      <c r="F35" s="39">
        <v>73.944000000000003</v>
      </c>
      <c r="G35" s="38">
        <v>59.76</v>
      </c>
      <c r="H35" s="155"/>
    </row>
    <row r="36" spans="1:8" s="9" customFormat="1" ht="20" x14ac:dyDescent="0.2">
      <c r="A36" s="125">
        <v>1759150620</v>
      </c>
      <c r="B36" s="75"/>
      <c r="C36" s="54" t="s">
        <v>602</v>
      </c>
      <c r="D36" s="12">
        <f>F36*$D$10</f>
        <v>42411.899999999994</v>
      </c>
      <c r="E36" s="12"/>
      <c r="F36" s="39">
        <v>77.819999999999993</v>
      </c>
      <c r="G36" s="38">
        <v>64.09</v>
      </c>
      <c r="H36" s="154"/>
    </row>
    <row r="37" spans="1:8" s="9" customFormat="1" ht="10.5" hidden="1" x14ac:dyDescent="0.2">
      <c r="A37" s="125">
        <v>1621220621</v>
      </c>
      <c r="B37" s="75"/>
      <c r="C37" s="166" t="s">
        <v>759</v>
      </c>
      <c r="D37" s="167">
        <f>F37*$D$10</f>
        <v>24176.2</v>
      </c>
      <c r="E37" s="167"/>
      <c r="F37" s="168">
        <v>44.36</v>
      </c>
      <c r="G37" s="169">
        <v>32.840000000000003</v>
      </c>
      <c r="H37" s="154" t="s">
        <v>758</v>
      </c>
    </row>
    <row r="38" spans="1:8" s="9" customFormat="1" ht="12" hidden="1" customHeight="1" x14ac:dyDescent="0.2">
      <c r="A38" s="125">
        <v>1332160522</v>
      </c>
      <c r="B38" s="75"/>
      <c r="C38" s="54" t="s">
        <v>603</v>
      </c>
      <c r="D38" s="12">
        <f>F38*$D$10</f>
        <v>44929.799999999996</v>
      </c>
      <c r="E38" s="12"/>
      <c r="F38" s="39">
        <v>82.44</v>
      </c>
      <c r="G38" s="38">
        <v>68.7</v>
      </c>
      <c r="H38" s="154"/>
    </row>
    <row r="39" spans="1:8" s="5" customFormat="1" ht="11.25" customHeight="1" x14ac:dyDescent="0.2">
      <c r="A39" s="124">
        <v>10</v>
      </c>
      <c r="B39" s="78"/>
      <c r="C39" s="76" t="s">
        <v>760</v>
      </c>
      <c r="D39" s="12">
        <f t="shared" si="1"/>
        <v>45910.8</v>
      </c>
      <c r="E39" s="12"/>
      <c r="F39" s="39">
        <v>84.240000000000009</v>
      </c>
      <c r="G39" s="38">
        <v>69.72</v>
      </c>
      <c r="H39" s="154"/>
    </row>
    <row r="40" spans="1:8" s="5" customFormat="1" ht="11.25" hidden="1" customHeight="1" x14ac:dyDescent="0.2">
      <c r="A40" s="125">
        <v>11</v>
      </c>
      <c r="B40" s="78"/>
      <c r="C40" s="76" t="s">
        <v>604</v>
      </c>
      <c r="D40" s="12">
        <f>F40*$D$10</f>
        <v>48363.299999999996</v>
      </c>
      <c r="E40" s="12"/>
      <c r="F40" s="39">
        <v>88.74</v>
      </c>
      <c r="G40" s="38">
        <v>73.95</v>
      </c>
      <c r="H40" s="155"/>
    </row>
    <row r="41" spans="1:8" s="5" customFormat="1" ht="11.25" customHeight="1" x14ac:dyDescent="0.2">
      <c r="A41" s="125">
        <v>12</v>
      </c>
      <c r="B41" s="78"/>
      <c r="C41" s="170" t="s">
        <v>762</v>
      </c>
      <c r="D41" s="167">
        <f>F41*$D$10</f>
        <v>26814</v>
      </c>
      <c r="E41" s="167"/>
      <c r="F41" s="168">
        <v>49.2</v>
      </c>
      <c r="G41" s="169">
        <v>41</v>
      </c>
      <c r="H41" s="154"/>
    </row>
    <row r="42" spans="1:8" s="5" customFormat="1" ht="10.5" hidden="1" x14ac:dyDescent="0.2">
      <c r="A42" s="124">
        <v>1437080620</v>
      </c>
      <c r="B42" s="78"/>
      <c r="C42" s="100" t="s">
        <v>542</v>
      </c>
      <c r="D42" s="12">
        <f>F42*$D$10</f>
        <v>53737</v>
      </c>
      <c r="E42" s="12"/>
      <c r="F42" s="39">
        <v>98.6</v>
      </c>
      <c r="G42" s="38">
        <v>82.2</v>
      </c>
      <c r="H42" s="154"/>
    </row>
    <row r="43" spans="1:8" s="5" customFormat="1" ht="11.25" customHeight="1" x14ac:dyDescent="0.2">
      <c r="A43" s="125">
        <v>13</v>
      </c>
      <c r="B43" s="78"/>
      <c r="C43" s="76" t="s">
        <v>605</v>
      </c>
      <c r="D43" s="12">
        <f t="shared" si="1"/>
        <v>55333.85</v>
      </c>
      <c r="E43" s="12"/>
      <c r="F43" s="39">
        <v>101.53</v>
      </c>
      <c r="G43" s="38">
        <v>81.22</v>
      </c>
      <c r="H43" s="155"/>
    </row>
    <row r="44" spans="1:8" s="5" customFormat="1" ht="10.5" hidden="1" x14ac:dyDescent="0.2">
      <c r="A44" s="124">
        <v>14</v>
      </c>
      <c r="B44" s="78"/>
      <c r="C44" s="76" t="s">
        <v>360</v>
      </c>
      <c r="D44" s="12">
        <f>F44*$D$10</f>
        <v>41152.950000000004</v>
      </c>
      <c r="E44" s="12"/>
      <c r="F44" s="39">
        <v>75.510000000000005</v>
      </c>
      <c r="G44" s="38">
        <v>62.93</v>
      </c>
      <c r="H44" s="154"/>
    </row>
    <row r="45" spans="1:8" s="5" customFormat="1" ht="10.5" hidden="1" x14ac:dyDescent="0.2">
      <c r="A45" s="124">
        <v>1622220621</v>
      </c>
      <c r="B45" s="78"/>
      <c r="C45" s="100" t="s">
        <v>761</v>
      </c>
      <c r="D45" s="12">
        <f>F45*$D$10</f>
        <v>28410.850000000002</v>
      </c>
      <c r="E45" s="12"/>
      <c r="F45" s="39">
        <v>52.13</v>
      </c>
      <c r="G45" s="38">
        <v>43.44</v>
      </c>
      <c r="H45" s="154"/>
    </row>
    <row r="46" spans="1:8" s="5" customFormat="1" ht="10.5" x14ac:dyDescent="0.2">
      <c r="A46" s="124">
        <v>140222112021</v>
      </c>
      <c r="B46" s="78"/>
      <c r="C46" s="100" t="s">
        <v>606</v>
      </c>
      <c r="D46" s="12">
        <f>F46*$D$10</f>
        <v>58734.65</v>
      </c>
      <c r="E46" s="12"/>
      <c r="F46" s="39">
        <v>107.77</v>
      </c>
      <c r="G46" s="38">
        <v>89.81</v>
      </c>
      <c r="H46" s="154"/>
    </row>
    <row r="47" spans="1:8" s="5" customFormat="1" ht="10.5" x14ac:dyDescent="0.2">
      <c r="A47" s="125">
        <v>16</v>
      </c>
      <c r="B47" s="78"/>
      <c r="C47" s="142" t="s">
        <v>607</v>
      </c>
      <c r="D47" s="143">
        <f t="shared" si="1"/>
        <v>65743.349999999991</v>
      </c>
      <c r="E47" s="143"/>
      <c r="F47" s="144">
        <v>120.63</v>
      </c>
      <c r="G47" s="145">
        <v>100.52</v>
      </c>
      <c r="H47" s="154"/>
    </row>
    <row r="48" spans="1:8" s="5" customFormat="1" ht="10.15" hidden="1" customHeight="1" x14ac:dyDescent="0.2">
      <c r="A48" s="125">
        <v>17</v>
      </c>
      <c r="B48" s="78"/>
      <c r="C48" s="77" t="s">
        <v>8</v>
      </c>
      <c r="D48" s="12">
        <f t="shared" si="1"/>
        <v>61214.400000000001</v>
      </c>
      <c r="E48" s="12"/>
      <c r="F48" s="39">
        <v>112.32000000000001</v>
      </c>
      <c r="G48" s="38">
        <v>92.13</v>
      </c>
      <c r="H48" s="154"/>
    </row>
    <row r="49" spans="1:8" ht="11.25" customHeight="1" x14ac:dyDescent="0.2">
      <c r="A49" s="125">
        <v>1102150620</v>
      </c>
      <c r="B49" s="79"/>
      <c r="C49" s="180" t="s">
        <v>608</v>
      </c>
      <c r="D49" s="167">
        <f t="shared" si="1"/>
        <v>54456.4</v>
      </c>
      <c r="E49" s="167"/>
      <c r="F49" s="182">
        <v>99.92</v>
      </c>
      <c r="G49" s="183">
        <v>83.27</v>
      </c>
      <c r="H49" s="154"/>
    </row>
    <row r="50" spans="1:8" ht="11.25" hidden="1" customHeight="1" x14ac:dyDescent="0.2">
      <c r="A50" s="125">
        <v>19</v>
      </c>
      <c r="B50" s="79"/>
      <c r="C50" s="76" t="s">
        <v>362</v>
      </c>
      <c r="D50" s="12">
        <f>F50*$D$10</f>
        <v>46842.75</v>
      </c>
      <c r="E50" s="12"/>
      <c r="F50" s="39">
        <v>85.95</v>
      </c>
      <c r="G50" s="38">
        <v>71.61</v>
      </c>
      <c r="H50" s="154"/>
    </row>
    <row r="51" spans="1:8" s="5" customFormat="1" ht="10.5" x14ac:dyDescent="0.2">
      <c r="A51" s="125">
        <v>20</v>
      </c>
      <c r="B51" s="78"/>
      <c r="C51" s="85" t="s">
        <v>609</v>
      </c>
      <c r="D51" s="12">
        <f>F51*$D$10</f>
        <v>66964.150000000009</v>
      </c>
      <c r="E51" s="12"/>
      <c r="F51" s="39">
        <v>122.87</v>
      </c>
      <c r="G51" s="38">
        <v>102.38</v>
      </c>
      <c r="H51" s="154"/>
    </row>
    <row r="52" spans="1:8" s="5" customFormat="1" ht="11.25" hidden="1" customHeight="1" x14ac:dyDescent="0.2">
      <c r="A52" s="124">
        <v>2222251120</v>
      </c>
      <c r="B52" s="78"/>
      <c r="C52" s="100" t="s">
        <v>610</v>
      </c>
      <c r="D52" s="12">
        <f>F52*$D$10</f>
        <v>68174.05</v>
      </c>
      <c r="E52" s="12"/>
      <c r="F52" s="39">
        <v>125.09</v>
      </c>
      <c r="G52" s="38">
        <v>104.25</v>
      </c>
      <c r="H52" s="154"/>
    </row>
    <row r="53" spans="1:8" s="5" customFormat="1" ht="10.5" hidden="1" x14ac:dyDescent="0.2">
      <c r="A53" s="124">
        <v>1219251120</v>
      </c>
      <c r="B53" s="78"/>
      <c r="C53" s="100" t="s">
        <v>611</v>
      </c>
      <c r="D53" s="12">
        <f>F53*$D$10</f>
        <v>72953.700000000012</v>
      </c>
      <c r="E53" s="12"/>
      <c r="F53" s="39">
        <v>133.86000000000001</v>
      </c>
      <c r="G53" s="38">
        <v>111.55</v>
      </c>
      <c r="H53" s="154"/>
    </row>
    <row r="54" spans="1:8" ht="11.25" hidden="1" customHeight="1" x14ac:dyDescent="0.2">
      <c r="A54" s="125">
        <v>21</v>
      </c>
      <c r="B54" s="79"/>
      <c r="C54" s="76" t="s">
        <v>612</v>
      </c>
      <c r="D54" s="12">
        <f t="shared" si="1"/>
        <v>71313.25</v>
      </c>
      <c r="E54" s="12"/>
      <c r="F54" s="39">
        <v>130.85</v>
      </c>
      <c r="G54" s="38">
        <v>109.04</v>
      </c>
    </row>
    <row r="55" spans="1:8" ht="11.25" hidden="1" customHeight="1" x14ac:dyDescent="0.2">
      <c r="A55" s="124">
        <v>22</v>
      </c>
      <c r="B55" s="79"/>
      <c r="C55" s="76" t="s">
        <v>613</v>
      </c>
      <c r="D55" s="12">
        <f t="shared" si="1"/>
        <v>109479.6</v>
      </c>
      <c r="E55" s="12"/>
      <c r="F55" s="39">
        <v>200.88000000000002</v>
      </c>
      <c r="G55" s="38">
        <v>171</v>
      </c>
    </row>
    <row r="56" spans="1:8" s="5" customFormat="1" ht="11.25" hidden="1" customHeight="1" x14ac:dyDescent="0.2">
      <c r="A56" s="124">
        <v>1421110723</v>
      </c>
      <c r="B56" s="78"/>
      <c r="C56" s="85" t="s">
        <v>727</v>
      </c>
      <c r="D56" s="12">
        <f>F56*$D$10</f>
        <v>71525.8</v>
      </c>
      <c r="E56" s="12"/>
      <c r="F56" s="39">
        <v>131.24</v>
      </c>
      <c r="G56" s="38">
        <v>109.37</v>
      </c>
      <c r="H56" s="154" t="s">
        <v>551</v>
      </c>
    </row>
    <row r="57" spans="1:8" s="5" customFormat="1" ht="11.25" customHeight="1" x14ac:dyDescent="0.2">
      <c r="A57" s="124">
        <v>851250725</v>
      </c>
      <c r="B57" s="78"/>
      <c r="C57" s="164" t="s">
        <v>782</v>
      </c>
      <c r="D57" s="101">
        <f>F57*$D$10</f>
        <v>72512.25</v>
      </c>
      <c r="E57" s="101"/>
      <c r="F57" s="110">
        <v>133.05000000000001</v>
      </c>
      <c r="G57" s="102">
        <v>110.87</v>
      </c>
      <c r="H57" s="154"/>
    </row>
    <row r="58" spans="1:8" ht="11.25" customHeight="1" x14ac:dyDescent="0.2">
      <c r="A58" s="125">
        <v>23</v>
      </c>
      <c r="B58" s="79"/>
      <c r="C58" s="76" t="s">
        <v>614</v>
      </c>
      <c r="D58" s="12">
        <f t="shared" si="1"/>
        <v>131147.4375</v>
      </c>
      <c r="E58" s="12"/>
      <c r="F58" s="39">
        <v>240.63750000000002</v>
      </c>
      <c r="G58" s="38">
        <v>196.64999999999998</v>
      </c>
    </row>
    <row r="59" spans="1:8" ht="11.25" customHeight="1" x14ac:dyDescent="0.2">
      <c r="A59" s="124">
        <v>1108260319</v>
      </c>
      <c r="B59" s="79"/>
      <c r="C59" s="70" t="s">
        <v>615</v>
      </c>
      <c r="D59" s="95">
        <f t="shared" si="1"/>
        <v>136250</v>
      </c>
      <c r="E59" s="95"/>
      <c r="F59" s="104">
        <v>250</v>
      </c>
      <c r="G59" s="96">
        <v>200</v>
      </c>
      <c r="H59" s="154"/>
    </row>
    <row r="60" spans="1:8" ht="15" customHeight="1" x14ac:dyDescent="0.2">
      <c r="A60" s="125">
        <v>24</v>
      </c>
      <c r="C60" s="207" t="s">
        <v>19</v>
      </c>
      <c r="D60" s="208"/>
      <c r="E60" s="208"/>
      <c r="F60" s="208"/>
      <c r="G60" s="209"/>
    </row>
    <row r="61" spans="1:8" ht="10.5" x14ac:dyDescent="0.2">
      <c r="A61" s="125">
        <v>1403110724</v>
      </c>
      <c r="C61" s="84" t="s">
        <v>754</v>
      </c>
      <c r="D61" s="12">
        <f>F61*$D$10</f>
        <v>93456.599999999991</v>
      </c>
      <c r="E61" s="12"/>
      <c r="F61" s="39">
        <v>171.48</v>
      </c>
      <c r="G61" s="38">
        <v>149.11000000000001</v>
      </c>
      <c r="H61" s="154"/>
    </row>
    <row r="62" spans="1:8" hidden="1" x14ac:dyDescent="0.2">
      <c r="A62" s="125">
        <v>25</v>
      </c>
      <c r="C62" s="100" t="s">
        <v>387</v>
      </c>
      <c r="D62" s="12">
        <f>F62*$D$10</f>
        <v>60467.205000000002</v>
      </c>
      <c r="E62" s="12">
        <f>G62*$F$10</f>
        <v>47513.917499999989</v>
      </c>
      <c r="F62" s="39">
        <v>110.949</v>
      </c>
      <c r="G62" s="38">
        <v>87.181499999999986</v>
      </c>
    </row>
    <row r="63" spans="1:8" ht="15.75" hidden="1" customHeight="1" x14ac:dyDescent="0.2">
      <c r="A63" s="124">
        <v>26</v>
      </c>
      <c r="C63" s="100" t="s">
        <v>598</v>
      </c>
      <c r="D63" s="12">
        <f>F63*$D$10</f>
        <v>62064.6</v>
      </c>
      <c r="E63" s="12">
        <f>G63*$F$10</f>
        <v>51720.5</v>
      </c>
      <c r="F63" s="39">
        <v>113.88</v>
      </c>
      <c r="G63" s="38">
        <v>94.9</v>
      </c>
      <c r="H63" s="154"/>
    </row>
    <row r="64" spans="1:8" ht="14" x14ac:dyDescent="0.2">
      <c r="A64" s="125">
        <v>27</v>
      </c>
      <c r="C64" s="213" t="s">
        <v>7</v>
      </c>
      <c r="D64" s="214"/>
      <c r="E64" s="214"/>
      <c r="F64" s="214"/>
      <c r="G64" s="215"/>
    </row>
    <row r="65" spans="1:8" ht="14" x14ac:dyDescent="0.2">
      <c r="A65" s="125">
        <v>28</v>
      </c>
      <c r="C65" s="189" t="s">
        <v>563</v>
      </c>
      <c r="D65" s="190"/>
      <c r="E65" s="190"/>
      <c r="F65" s="190"/>
      <c r="G65" s="191"/>
    </row>
    <row r="66" spans="1:8" ht="10.5" hidden="1" x14ac:dyDescent="0.2">
      <c r="A66" s="125">
        <v>29</v>
      </c>
      <c r="C66" s="100" t="s">
        <v>11</v>
      </c>
      <c r="D66" s="12">
        <f t="shared" ref="D66:D81" si="2">F66*$D$10</f>
        <v>6812.5</v>
      </c>
      <c r="E66" s="12">
        <f t="shared" ref="E66:E111" si="3">G66*$F$10</f>
        <v>6812.5</v>
      </c>
      <c r="F66" s="39">
        <v>12.5</v>
      </c>
      <c r="G66" s="38">
        <v>12.5</v>
      </c>
      <c r="H66" s="154"/>
    </row>
    <row r="67" spans="1:8" ht="10.5" hidden="1" x14ac:dyDescent="0.2">
      <c r="A67" s="124">
        <v>30</v>
      </c>
      <c r="C67" s="84" t="s">
        <v>432</v>
      </c>
      <c r="D67" s="12">
        <f t="shared" si="2"/>
        <v>13352.5</v>
      </c>
      <c r="E67" s="12">
        <f t="shared" si="3"/>
        <v>9946.25</v>
      </c>
      <c r="F67" s="39">
        <v>24.5</v>
      </c>
      <c r="G67" s="38">
        <v>18.25</v>
      </c>
      <c r="H67" s="154"/>
    </row>
    <row r="68" spans="1:8" ht="10.5" x14ac:dyDescent="0.2">
      <c r="A68" s="124">
        <v>1024301225</v>
      </c>
      <c r="C68" s="175" t="s">
        <v>797</v>
      </c>
      <c r="D68" s="176">
        <f>F68*$D$10</f>
        <v>11494.05</v>
      </c>
      <c r="E68" s="176"/>
      <c r="F68" s="177">
        <v>21.09</v>
      </c>
      <c r="G68" s="178">
        <v>15.63</v>
      </c>
      <c r="H68" s="154"/>
    </row>
    <row r="69" spans="1:8" ht="10.5" customHeight="1" x14ac:dyDescent="0.2">
      <c r="A69" s="125">
        <v>1728090920</v>
      </c>
      <c r="C69" s="180" t="s">
        <v>559</v>
      </c>
      <c r="D69" s="167">
        <f>F69*$D$10</f>
        <v>9613.8000000000011</v>
      </c>
      <c r="E69" s="167"/>
      <c r="F69" s="182">
        <v>17.64</v>
      </c>
      <c r="G69" s="183">
        <v>13.14</v>
      </c>
      <c r="H69" s="154"/>
    </row>
    <row r="70" spans="1:8" ht="10.5" hidden="1" x14ac:dyDescent="0.2">
      <c r="A70" s="124">
        <v>1705090920</v>
      </c>
      <c r="C70" s="132" t="s">
        <v>798</v>
      </c>
      <c r="D70" s="12">
        <f>F70*$D$10</f>
        <v>18170.300000000003</v>
      </c>
      <c r="E70" s="12"/>
      <c r="F70" s="39">
        <v>33.340000000000003</v>
      </c>
      <c r="G70" s="38">
        <v>26.34</v>
      </c>
      <c r="H70" s="154"/>
    </row>
    <row r="71" spans="1:8" ht="12" customHeight="1" x14ac:dyDescent="0.2">
      <c r="A71" s="125">
        <v>32</v>
      </c>
      <c r="C71" s="100" t="s">
        <v>599</v>
      </c>
      <c r="D71" s="12">
        <f t="shared" si="2"/>
        <v>18121.25</v>
      </c>
      <c r="E71" s="12"/>
      <c r="F71" s="52">
        <v>33.25</v>
      </c>
      <c r="G71" s="66">
        <v>26.25</v>
      </c>
      <c r="H71" s="154"/>
    </row>
    <row r="72" spans="1:8" ht="13.9" hidden="1" customHeight="1" x14ac:dyDescent="0.2">
      <c r="A72" s="125">
        <v>33</v>
      </c>
      <c r="C72" s="100" t="s">
        <v>363</v>
      </c>
      <c r="D72" s="12">
        <f t="shared" si="2"/>
        <v>25887.5</v>
      </c>
      <c r="E72" s="12"/>
      <c r="F72" s="52">
        <v>47.5</v>
      </c>
      <c r="G72" s="66">
        <v>37.5</v>
      </c>
    </row>
    <row r="73" spans="1:8" ht="12" hidden="1" customHeight="1" x14ac:dyDescent="0.2">
      <c r="A73" s="125">
        <v>31</v>
      </c>
      <c r="C73" s="100" t="s">
        <v>369</v>
      </c>
      <c r="D73" s="12">
        <f t="shared" si="2"/>
        <v>17390.95</v>
      </c>
      <c r="E73" s="12"/>
      <c r="F73" s="52">
        <v>31.91</v>
      </c>
      <c r="G73" s="66">
        <v>27.28</v>
      </c>
      <c r="H73" s="154"/>
    </row>
    <row r="74" spans="1:8" ht="12" customHeight="1" x14ac:dyDescent="0.2">
      <c r="A74" s="125">
        <v>1142080422</v>
      </c>
      <c r="C74" s="100" t="s">
        <v>591</v>
      </c>
      <c r="D74" s="12">
        <f t="shared" si="2"/>
        <v>19216.7</v>
      </c>
      <c r="E74" s="12"/>
      <c r="F74" s="52">
        <v>35.26</v>
      </c>
      <c r="G74" s="66">
        <v>29.38</v>
      </c>
      <c r="H74" s="154"/>
    </row>
    <row r="75" spans="1:8" ht="22.5" customHeight="1" x14ac:dyDescent="0.2">
      <c r="A75" s="125">
        <v>1455080923</v>
      </c>
      <c r="C75" s="100" t="s">
        <v>735</v>
      </c>
      <c r="D75" s="12">
        <f t="shared" si="2"/>
        <v>19254.849999999999</v>
      </c>
      <c r="E75" s="12"/>
      <c r="F75" s="39">
        <v>35.33</v>
      </c>
      <c r="G75" s="38">
        <v>29.44</v>
      </c>
      <c r="H75" s="154"/>
    </row>
    <row r="76" spans="1:8" ht="24" customHeight="1" x14ac:dyDescent="0.2">
      <c r="A76" s="125">
        <v>1456080923</v>
      </c>
      <c r="C76" s="100" t="s">
        <v>736</v>
      </c>
      <c r="D76" s="12">
        <f t="shared" si="2"/>
        <v>20562.849999999999</v>
      </c>
      <c r="E76" s="12"/>
      <c r="F76" s="39">
        <v>37.729999999999997</v>
      </c>
      <c r="G76" s="38">
        <v>31.44</v>
      </c>
      <c r="H76" s="154"/>
    </row>
    <row r="77" spans="1:8" ht="12.65" hidden="1" customHeight="1" x14ac:dyDescent="0.2">
      <c r="A77" s="124">
        <v>34</v>
      </c>
      <c r="C77" s="100" t="s">
        <v>558</v>
      </c>
      <c r="D77" s="12">
        <f t="shared" si="2"/>
        <v>19254.849999999999</v>
      </c>
      <c r="E77" s="12"/>
      <c r="F77" s="39">
        <v>35.33</v>
      </c>
      <c r="G77" s="38">
        <v>29.44</v>
      </c>
      <c r="H77" s="154"/>
    </row>
    <row r="78" spans="1:8" ht="12.65" hidden="1" customHeight="1" x14ac:dyDescent="0.2">
      <c r="A78" s="124">
        <v>1727090920</v>
      </c>
      <c r="C78" s="100" t="s">
        <v>557</v>
      </c>
      <c r="D78" s="12">
        <f t="shared" si="2"/>
        <v>21380.35</v>
      </c>
      <c r="E78" s="12"/>
      <c r="F78" s="39">
        <v>39.229999999999997</v>
      </c>
      <c r="G78" s="38">
        <v>32.69</v>
      </c>
      <c r="H78" s="154"/>
    </row>
    <row r="79" spans="1:8" ht="20" hidden="1" x14ac:dyDescent="0.2">
      <c r="A79" s="125">
        <v>35</v>
      </c>
      <c r="C79" s="100" t="s">
        <v>376</v>
      </c>
      <c r="D79" s="12">
        <f t="shared" si="2"/>
        <v>22955.399999999998</v>
      </c>
      <c r="E79" s="12"/>
      <c r="F79" s="39">
        <v>42.12</v>
      </c>
      <c r="G79" s="38">
        <v>35.1</v>
      </c>
      <c r="H79" s="154"/>
    </row>
    <row r="80" spans="1:8" ht="13.5" hidden="1" customHeight="1" x14ac:dyDescent="0.2">
      <c r="A80" s="124">
        <v>38</v>
      </c>
      <c r="C80" s="100" t="s">
        <v>600</v>
      </c>
      <c r="D80" s="12">
        <f t="shared" si="2"/>
        <v>24906.5</v>
      </c>
      <c r="E80" s="12"/>
      <c r="F80" s="39">
        <v>45.7</v>
      </c>
      <c r="G80" s="38">
        <v>35.31</v>
      </c>
      <c r="H80" s="154"/>
    </row>
    <row r="81" spans="1:9" ht="11.25" customHeight="1" x14ac:dyDescent="0.2">
      <c r="A81" s="125">
        <v>37</v>
      </c>
      <c r="C81" s="174" t="s">
        <v>564</v>
      </c>
      <c r="D81" s="167">
        <f t="shared" si="2"/>
        <v>19227.600000000002</v>
      </c>
      <c r="E81" s="167"/>
      <c r="F81" s="168">
        <v>35.28</v>
      </c>
      <c r="G81" s="169">
        <v>26.28</v>
      </c>
      <c r="H81" s="154"/>
    </row>
    <row r="82" spans="1:9" ht="10.5" hidden="1" x14ac:dyDescent="0.2">
      <c r="A82" s="124">
        <v>46</v>
      </c>
      <c r="C82" s="100" t="s">
        <v>13</v>
      </c>
      <c r="D82" s="12">
        <f>F82*$D$10</f>
        <v>30656.25</v>
      </c>
      <c r="E82" s="12"/>
      <c r="F82" s="39">
        <v>56.25</v>
      </c>
      <c r="G82" s="38">
        <v>43.7</v>
      </c>
      <c r="H82" s="154"/>
    </row>
    <row r="83" spans="1:9" ht="10.5" hidden="1" x14ac:dyDescent="0.2">
      <c r="A83" s="124">
        <v>1458260824</v>
      </c>
      <c r="C83" s="100" t="s">
        <v>757</v>
      </c>
      <c r="D83" s="12">
        <f>F83*$D$10</f>
        <v>27048.350000000002</v>
      </c>
      <c r="E83" s="12"/>
      <c r="F83" s="39">
        <v>49.63</v>
      </c>
      <c r="G83" s="38">
        <v>41.36</v>
      </c>
      <c r="H83" s="154"/>
    </row>
    <row r="84" spans="1:9" ht="10.5" hidden="1" x14ac:dyDescent="0.2">
      <c r="A84" s="125">
        <v>36</v>
      </c>
      <c r="C84" s="100" t="s">
        <v>565</v>
      </c>
      <c r="D84" s="12">
        <f t="shared" ref="D84:D111" si="4">F84*$D$10</f>
        <v>27091.95</v>
      </c>
      <c r="E84" s="12"/>
      <c r="F84" s="39">
        <v>49.71</v>
      </c>
      <c r="G84" s="38">
        <v>39.76</v>
      </c>
      <c r="H84" s="154"/>
      <c r="I84" t="s">
        <v>551</v>
      </c>
    </row>
    <row r="85" spans="1:9" ht="12.75" hidden="1" customHeight="1" x14ac:dyDescent="0.2">
      <c r="A85" s="125">
        <v>39</v>
      </c>
      <c r="C85" s="100" t="s">
        <v>375</v>
      </c>
      <c r="D85" s="12">
        <f t="shared" si="4"/>
        <v>29702.5</v>
      </c>
      <c r="E85" s="12"/>
      <c r="F85" s="39">
        <v>54.5</v>
      </c>
      <c r="G85" s="38">
        <v>43.61</v>
      </c>
      <c r="H85" s="154"/>
    </row>
    <row r="86" spans="1:9" hidden="1" x14ac:dyDescent="0.2">
      <c r="A86" s="125">
        <v>40</v>
      </c>
      <c r="C86" s="100" t="s">
        <v>377</v>
      </c>
      <c r="D86" s="12">
        <f t="shared" si="4"/>
        <v>37016.400000000001</v>
      </c>
      <c r="E86" s="12"/>
      <c r="F86" s="39">
        <v>67.92</v>
      </c>
      <c r="G86" s="38">
        <v>52.25</v>
      </c>
    </row>
    <row r="87" spans="1:9" x14ac:dyDescent="0.2">
      <c r="A87" s="125">
        <v>41</v>
      </c>
      <c r="C87" s="85" t="s">
        <v>401</v>
      </c>
      <c r="D87" s="12">
        <f t="shared" si="4"/>
        <v>37016.400000000001</v>
      </c>
      <c r="E87" s="12"/>
      <c r="F87" s="39">
        <v>67.92</v>
      </c>
      <c r="G87" s="38">
        <v>52.25</v>
      </c>
    </row>
    <row r="88" spans="1:9" ht="10.5" x14ac:dyDescent="0.2">
      <c r="A88" s="124">
        <v>42</v>
      </c>
      <c r="C88" s="84" t="s">
        <v>402</v>
      </c>
      <c r="D88" s="12">
        <f t="shared" si="4"/>
        <v>37016.400000000001</v>
      </c>
      <c r="E88" s="12"/>
      <c r="F88" s="39">
        <v>67.92</v>
      </c>
      <c r="G88" s="38">
        <v>52.25</v>
      </c>
      <c r="H88" s="154"/>
    </row>
    <row r="89" spans="1:9" ht="10.15" hidden="1" customHeight="1" x14ac:dyDescent="0.2">
      <c r="A89" s="125">
        <v>43</v>
      </c>
      <c r="C89" s="100" t="s">
        <v>616</v>
      </c>
      <c r="D89" s="12">
        <f t="shared" si="4"/>
        <v>39223.65</v>
      </c>
      <c r="E89" s="12"/>
      <c r="F89" s="39">
        <v>71.97</v>
      </c>
      <c r="G89" s="38">
        <v>59.98</v>
      </c>
      <c r="H89" s="154"/>
    </row>
    <row r="90" spans="1:9" hidden="1" x14ac:dyDescent="0.2">
      <c r="A90" s="125">
        <v>44</v>
      </c>
      <c r="C90" s="8" t="s">
        <v>12</v>
      </c>
      <c r="D90" s="12">
        <f t="shared" si="4"/>
        <v>36949.364999999998</v>
      </c>
      <c r="E90" s="12"/>
      <c r="F90" s="39">
        <v>67.796999999999997</v>
      </c>
      <c r="G90" s="38">
        <v>53.4375</v>
      </c>
    </row>
    <row r="91" spans="1:9" hidden="1" x14ac:dyDescent="0.2">
      <c r="A91" s="125">
        <v>45</v>
      </c>
      <c r="C91" s="100" t="s">
        <v>378</v>
      </c>
      <c r="D91" s="12">
        <f t="shared" si="4"/>
        <v>38431.901250000003</v>
      </c>
      <c r="E91" s="12"/>
      <c r="F91" s="39">
        <v>70.517250000000004</v>
      </c>
      <c r="G91" s="38">
        <v>58.139999999999993</v>
      </c>
    </row>
    <row r="92" spans="1:9" ht="10.5" x14ac:dyDescent="0.2">
      <c r="A92" s="125">
        <v>47</v>
      </c>
      <c r="C92" s="100" t="s">
        <v>617</v>
      </c>
      <c r="D92" s="12">
        <f t="shared" si="4"/>
        <v>30618.1</v>
      </c>
      <c r="E92" s="12"/>
      <c r="F92" s="39">
        <v>56.18</v>
      </c>
      <c r="G92" s="38">
        <v>46.82</v>
      </c>
      <c r="H92" s="154"/>
    </row>
    <row r="93" spans="1:9" ht="20" x14ac:dyDescent="0.2">
      <c r="A93" s="125">
        <v>1229251125</v>
      </c>
      <c r="C93" s="165" t="s">
        <v>795</v>
      </c>
      <c r="D93" s="101">
        <f>F93*$D$10</f>
        <v>39398.050000000003</v>
      </c>
      <c r="E93" s="101"/>
      <c r="F93" s="110">
        <v>72.290000000000006</v>
      </c>
      <c r="G93" s="102">
        <v>60.24</v>
      </c>
      <c r="H93" s="154"/>
    </row>
    <row r="94" spans="1:9" ht="20" x14ac:dyDescent="0.2">
      <c r="A94" s="125">
        <v>1230251125</v>
      </c>
      <c r="C94" s="165" t="s">
        <v>796</v>
      </c>
      <c r="D94" s="101">
        <f>F94*$D$10</f>
        <v>43899.75</v>
      </c>
      <c r="E94" s="101"/>
      <c r="F94" s="110">
        <v>80.55</v>
      </c>
      <c r="G94" s="102">
        <v>67.12</v>
      </c>
      <c r="H94" s="154"/>
    </row>
    <row r="95" spans="1:9" hidden="1" x14ac:dyDescent="0.2">
      <c r="A95" s="125">
        <v>48</v>
      </c>
      <c r="C95" s="100" t="s">
        <v>380</v>
      </c>
      <c r="D95" s="12">
        <f t="shared" si="4"/>
        <v>45388.417500000003</v>
      </c>
      <c r="E95" s="12"/>
      <c r="F95" s="39">
        <v>83.281500000000008</v>
      </c>
      <c r="G95" s="38">
        <v>63.27</v>
      </c>
    </row>
    <row r="96" spans="1:9" hidden="1" x14ac:dyDescent="0.2">
      <c r="A96" s="125">
        <v>49</v>
      </c>
      <c r="C96" s="100" t="s">
        <v>379</v>
      </c>
      <c r="D96" s="12">
        <f t="shared" si="4"/>
        <v>45388.417500000003</v>
      </c>
      <c r="E96" s="12"/>
      <c r="F96" s="39">
        <v>83.281500000000008</v>
      </c>
      <c r="G96" s="38">
        <v>63.27</v>
      </c>
    </row>
    <row r="97" spans="1:8" hidden="1" x14ac:dyDescent="0.2">
      <c r="A97" s="124">
        <v>50</v>
      </c>
      <c r="C97" s="100" t="s">
        <v>14</v>
      </c>
      <c r="D97" s="12">
        <f t="shared" si="4"/>
        <v>46832.94</v>
      </c>
      <c r="E97" s="12"/>
      <c r="F97" s="39">
        <v>85.932000000000002</v>
      </c>
      <c r="G97" s="38">
        <v>70.157499999999999</v>
      </c>
    </row>
    <row r="98" spans="1:8" ht="10.15" hidden="1" customHeight="1" x14ac:dyDescent="0.2">
      <c r="A98" s="125">
        <v>51</v>
      </c>
      <c r="C98" s="100" t="s">
        <v>381</v>
      </c>
      <c r="D98" s="12">
        <f t="shared" si="4"/>
        <v>47897.325000000004</v>
      </c>
      <c r="E98" s="12"/>
      <c r="F98" s="39">
        <v>87.885000000000005</v>
      </c>
      <c r="G98" s="38">
        <v>67.545000000000002</v>
      </c>
    </row>
    <row r="99" spans="1:8" hidden="1" x14ac:dyDescent="0.2">
      <c r="A99" s="125">
        <v>52</v>
      </c>
      <c r="C99" s="100" t="s">
        <v>382</v>
      </c>
      <c r="D99" s="12">
        <f t="shared" si="4"/>
        <v>47897.325000000004</v>
      </c>
      <c r="E99" s="12"/>
      <c r="F99" s="39">
        <v>87.885000000000005</v>
      </c>
      <c r="G99" s="38">
        <v>67.545000000000002</v>
      </c>
    </row>
    <row r="100" spans="1:8" ht="10.5" x14ac:dyDescent="0.2">
      <c r="A100" s="125">
        <v>53</v>
      </c>
      <c r="C100" s="100" t="s">
        <v>618</v>
      </c>
      <c r="D100" s="12">
        <f t="shared" si="4"/>
        <v>46226.899999999994</v>
      </c>
      <c r="E100" s="12"/>
      <c r="F100" s="39">
        <v>84.82</v>
      </c>
      <c r="G100" s="38">
        <v>64.98</v>
      </c>
      <c r="H100" s="154"/>
    </row>
    <row r="101" spans="1:8" ht="12" customHeight="1" x14ac:dyDescent="0.2">
      <c r="A101" s="124">
        <v>54</v>
      </c>
      <c r="C101" s="100" t="s">
        <v>619</v>
      </c>
      <c r="D101" s="12">
        <f t="shared" si="4"/>
        <v>46226.899999999994</v>
      </c>
      <c r="E101" s="12"/>
      <c r="F101" s="39">
        <v>84.82</v>
      </c>
      <c r="G101" s="38">
        <v>64.98</v>
      </c>
      <c r="H101" s="154"/>
    </row>
    <row r="102" spans="1:8" hidden="1" x14ac:dyDescent="0.2">
      <c r="A102" s="125">
        <v>55</v>
      </c>
      <c r="C102" s="100" t="s">
        <v>384</v>
      </c>
      <c r="D102" s="12">
        <f t="shared" si="4"/>
        <v>49265.82</v>
      </c>
      <c r="E102" s="12"/>
      <c r="F102" s="39">
        <v>90.396000000000001</v>
      </c>
      <c r="G102" s="38">
        <v>69.254999999999995</v>
      </c>
    </row>
    <row r="103" spans="1:8" ht="11.25" customHeight="1" x14ac:dyDescent="0.2">
      <c r="A103" s="125">
        <v>56</v>
      </c>
      <c r="C103" s="100" t="s">
        <v>383</v>
      </c>
      <c r="D103" s="12">
        <f t="shared" si="4"/>
        <v>49265.82</v>
      </c>
      <c r="E103" s="12"/>
      <c r="F103" s="39">
        <v>90.396000000000001</v>
      </c>
      <c r="G103" s="38">
        <v>69.254999999999995</v>
      </c>
    </row>
    <row r="104" spans="1:8" ht="12" customHeight="1" x14ac:dyDescent="0.2">
      <c r="A104" s="124">
        <v>1714090119</v>
      </c>
      <c r="C104" s="100" t="s">
        <v>620</v>
      </c>
      <c r="D104" s="12">
        <f t="shared" si="4"/>
        <v>40024.799999999996</v>
      </c>
      <c r="E104" s="12"/>
      <c r="F104" s="39">
        <v>73.44</v>
      </c>
      <c r="G104" s="38">
        <v>61.2</v>
      </c>
      <c r="H104" s="154"/>
    </row>
    <row r="105" spans="1:8" hidden="1" x14ac:dyDescent="0.2">
      <c r="A105" s="125">
        <v>57</v>
      </c>
      <c r="C105" s="100" t="s">
        <v>15</v>
      </c>
      <c r="D105" s="12">
        <f>F105*$D$10</f>
        <v>49627.700000000004</v>
      </c>
      <c r="E105" s="12"/>
      <c r="F105" s="39">
        <v>91.06</v>
      </c>
      <c r="G105" s="38">
        <v>69.77</v>
      </c>
    </row>
    <row r="106" spans="1:8" ht="10.5" x14ac:dyDescent="0.2">
      <c r="A106" s="125">
        <v>1730021122</v>
      </c>
      <c r="C106" s="100" t="s">
        <v>691</v>
      </c>
      <c r="D106" s="12">
        <f>F106*$D$10</f>
        <v>50663.199999999997</v>
      </c>
      <c r="E106" s="12"/>
      <c r="F106" s="39">
        <v>92.96</v>
      </c>
      <c r="G106" s="38">
        <v>77.47</v>
      </c>
      <c r="H106" s="154"/>
    </row>
    <row r="107" spans="1:8" ht="10.5" x14ac:dyDescent="0.2">
      <c r="A107" s="125">
        <v>1452020623</v>
      </c>
      <c r="C107" s="84" t="s">
        <v>722</v>
      </c>
      <c r="D107" s="12">
        <f>F107*$D$10</f>
        <v>50663.199999999997</v>
      </c>
      <c r="E107" s="12"/>
      <c r="F107" s="39">
        <v>92.96</v>
      </c>
      <c r="G107" s="38">
        <v>77.47</v>
      </c>
      <c r="H107" s="154"/>
    </row>
    <row r="108" spans="1:8" ht="21" hidden="1" customHeight="1" x14ac:dyDescent="0.2">
      <c r="A108" s="125">
        <v>60</v>
      </c>
      <c r="C108" s="100" t="s">
        <v>744</v>
      </c>
      <c r="D108" s="12">
        <f t="shared" si="4"/>
        <v>57666.450000000004</v>
      </c>
      <c r="E108" s="12"/>
      <c r="F108" s="39">
        <v>105.81</v>
      </c>
      <c r="G108" s="38">
        <v>88.18</v>
      </c>
      <c r="H108" s="154"/>
    </row>
    <row r="109" spans="1:8" ht="25.5" hidden="1" customHeight="1" x14ac:dyDescent="0.2">
      <c r="A109" s="124">
        <v>58</v>
      </c>
      <c r="C109" s="100" t="s">
        <v>386</v>
      </c>
      <c r="D109" s="12">
        <f t="shared" si="4"/>
        <v>57699.15</v>
      </c>
      <c r="E109" s="12"/>
      <c r="F109" s="39">
        <v>105.87</v>
      </c>
      <c r="G109" s="38">
        <v>84.7</v>
      </c>
      <c r="H109" s="154"/>
    </row>
    <row r="110" spans="1:8" ht="20" hidden="1" x14ac:dyDescent="0.2">
      <c r="A110" s="125">
        <v>59</v>
      </c>
      <c r="C110" s="100" t="s">
        <v>385</v>
      </c>
      <c r="D110" s="12">
        <f t="shared" si="4"/>
        <v>57699.15</v>
      </c>
      <c r="E110" s="12"/>
      <c r="F110" s="39">
        <v>105.87</v>
      </c>
      <c r="G110" s="38">
        <v>84.7</v>
      </c>
      <c r="H110" s="154"/>
    </row>
    <row r="111" spans="1:8" s="103" customFormat="1" ht="21.75" customHeight="1" x14ac:dyDescent="0.2">
      <c r="A111" s="126">
        <v>61</v>
      </c>
      <c r="C111" s="108" t="s">
        <v>799</v>
      </c>
      <c r="D111" s="129">
        <f t="shared" si="4"/>
        <v>65045.75</v>
      </c>
      <c r="E111" s="105"/>
      <c r="F111" s="106">
        <v>119.35</v>
      </c>
      <c r="G111" s="107">
        <v>95.48</v>
      </c>
      <c r="H111" s="155"/>
    </row>
    <row r="112" spans="1:8" ht="14" x14ac:dyDescent="0.2">
      <c r="A112" s="125">
        <v>28</v>
      </c>
      <c r="C112" s="219" t="s">
        <v>562</v>
      </c>
      <c r="D112" s="220"/>
      <c r="E112" s="220"/>
      <c r="F112" s="220"/>
      <c r="G112" s="221"/>
    </row>
    <row r="113" spans="1:8" ht="20" x14ac:dyDescent="0.2">
      <c r="A113" s="125">
        <v>1712090920</v>
      </c>
      <c r="C113" s="100" t="s">
        <v>556</v>
      </c>
      <c r="D113" s="12">
        <f t="shared" ref="D113:D123" si="5">F113*$D$10</f>
        <v>30885.15</v>
      </c>
      <c r="E113" s="12"/>
      <c r="F113" s="39">
        <v>56.67</v>
      </c>
      <c r="G113" s="38">
        <v>45.34</v>
      </c>
      <c r="H113" s="154"/>
    </row>
    <row r="114" spans="1:8" ht="16.5" hidden="1" customHeight="1" x14ac:dyDescent="0.2">
      <c r="A114" s="124">
        <v>1755160119</v>
      </c>
      <c r="C114" s="100" t="s">
        <v>566</v>
      </c>
      <c r="D114" s="12">
        <f t="shared" si="5"/>
        <v>47022.6</v>
      </c>
      <c r="E114" s="12"/>
      <c r="F114" s="39">
        <v>86.28</v>
      </c>
      <c r="G114" s="38">
        <v>71.900000000000006</v>
      </c>
      <c r="H114" s="154"/>
    </row>
    <row r="115" spans="1:8" ht="24.75" hidden="1" customHeight="1" x14ac:dyDescent="0.2">
      <c r="A115" s="124">
        <v>173009020</v>
      </c>
      <c r="C115" s="130" t="s">
        <v>560</v>
      </c>
      <c r="D115" s="105">
        <f t="shared" si="5"/>
        <v>48859.25</v>
      </c>
      <c r="E115" s="105"/>
      <c r="F115" s="39">
        <v>89.65</v>
      </c>
      <c r="G115" s="38">
        <v>74.709999999999994</v>
      </c>
      <c r="H115" s="154"/>
    </row>
    <row r="116" spans="1:8" ht="24.75" hidden="1" customHeight="1" x14ac:dyDescent="0.2">
      <c r="A116" s="124">
        <v>173009020</v>
      </c>
      <c r="C116" s="131" t="s">
        <v>561</v>
      </c>
      <c r="D116" s="105">
        <f t="shared" si="5"/>
        <v>59377.75</v>
      </c>
      <c r="E116" s="105"/>
      <c r="F116" s="39">
        <v>108.95</v>
      </c>
      <c r="G116" s="38">
        <v>90.79</v>
      </c>
      <c r="H116" s="154"/>
    </row>
    <row r="117" spans="1:8" ht="14.25" hidden="1" customHeight="1" x14ac:dyDescent="0.2">
      <c r="A117" s="124">
        <v>62</v>
      </c>
      <c r="C117" s="100" t="s">
        <v>16</v>
      </c>
      <c r="D117" s="105">
        <f>F117*$D$10</f>
        <v>65104.8825</v>
      </c>
      <c r="E117" s="105"/>
      <c r="F117" s="39">
        <v>119.4585</v>
      </c>
      <c r="G117" s="38">
        <v>101.745</v>
      </c>
    </row>
    <row r="118" spans="1:8" ht="21" hidden="1" customHeight="1" x14ac:dyDescent="0.2">
      <c r="A118" s="125">
        <v>2118200319</v>
      </c>
      <c r="C118" s="100" t="s">
        <v>621</v>
      </c>
      <c r="D118" s="105">
        <f>F118*$D$10</f>
        <v>103005</v>
      </c>
      <c r="E118" s="105"/>
      <c r="F118" s="39">
        <v>189</v>
      </c>
      <c r="G118" s="38">
        <v>151.19999999999999</v>
      </c>
      <c r="H118" s="154"/>
    </row>
    <row r="119" spans="1:8" ht="10.5" x14ac:dyDescent="0.2">
      <c r="A119" s="125">
        <v>1430011222</v>
      </c>
      <c r="C119" s="100" t="s">
        <v>698</v>
      </c>
      <c r="D119" s="105">
        <f>F119*$D$10</f>
        <v>67356.55</v>
      </c>
      <c r="E119" s="105"/>
      <c r="F119" s="39">
        <v>123.59</v>
      </c>
      <c r="G119" s="38">
        <v>102.99</v>
      </c>
      <c r="H119" s="154"/>
    </row>
    <row r="120" spans="1:8" ht="10.5" x14ac:dyDescent="0.2">
      <c r="A120" s="125">
        <v>1431011222</v>
      </c>
      <c r="C120" s="100" t="s">
        <v>699</v>
      </c>
      <c r="D120" s="105">
        <f>F120*$D$10</f>
        <v>70479.399999999994</v>
      </c>
      <c r="E120" s="105"/>
      <c r="F120" s="39">
        <v>129.32</v>
      </c>
      <c r="G120" s="38">
        <v>107.77</v>
      </c>
      <c r="H120" s="154"/>
    </row>
    <row r="121" spans="1:8" ht="20" x14ac:dyDescent="0.2">
      <c r="A121" s="125">
        <v>1453230125</v>
      </c>
      <c r="C121" s="100" t="s">
        <v>768</v>
      </c>
      <c r="D121" s="105">
        <f>F121*$D$10</f>
        <v>93631</v>
      </c>
      <c r="E121" s="105"/>
      <c r="F121" s="39">
        <v>171.8</v>
      </c>
      <c r="G121" s="38">
        <v>143.16999999999999</v>
      </c>
      <c r="H121" s="154"/>
    </row>
    <row r="122" spans="1:8" ht="26.25" customHeight="1" x14ac:dyDescent="0.2">
      <c r="A122" s="125">
        <v>1447110722</v>
      </c>
      <c r="C122" s="146" t="s">
        <v>683</v>
      </c>
      <c r="D122" s="143">
        <f t="shared" si="5"/>
        <v>120090.75</v>
      </c>
      <c r="E122" s="143"/>
      <c r="F122" s="144">
        <v>220.35</v>
      </c>
      <c r="G122" s="145">
        <v>183.62</v>
      </c>
      <c r="H122" s="154"/>
    </row>
    <row r="123" spans="1:8" ht="14.25" hidden="1" customHeight="1" x14ac:dyDescent="0.2">
      <c r="A123" s="125">
        <v>63</v>
      </c>
      <c r="C123" s="100" t="s">
        <v>449</v>
      </c>
      <c r="D123" s="12">
        <f t="shared" si="5"/>
        <v>105730</v>
      </c>
      <c r="E123" s="12">
        <f t="shared" ref="E113:E123" si="6">G123*$F$10</f>
        <v>84584</v>
      </c>
      <c r="F123" s="39">
        <v>194</v>
      </c>
      <c r="G123" s="38">
        <v>155.19999999999999</v>
      </c>
      <c r="H123" s="154"/>
    </row>
    <row r="124" spans="1:8" ht="14" hidden="1" x14ac:dyDescent="0.2">
      <c r="A124" s="125">
        <v>64</v>
      </c>
      <c r="C124" s="189" t="s">
        <v>20</v>
      </c>
      <c r="D124" s="190"/>
      <c r="E124" s="190"/>
      <c r="F124" s="190"/>
      <c r="G124" s="191"/>
    </row>
    <row r="125" spans="1:8" hidden="1" x14ac:dyDescent="0.2">
      <c r="A125" s="125">
        <v>65</v>
      </c>
      <c r="C125" s="22" t="s">
        <v>21</v>
      </c>
      <c r="D125" s="12"/>
      <c r="E125" s="12"/>
      <c r="F125" s="39"/>
      <c r="G125" s="38"/>
    </row>
    <row r="126" spans="1:8" hidden="1" x14ac:dyDescent="0.2">
      <c r="A126" s="124">
        <v>66</v>
      </c>
      <c r="C126" s="22" t="s">
        <v>22</v>
      </c>
      <c r="D126" s="12"/>
      <c r="E126" s="12"/>
      <c r="F126" s="39"/>
      <c r="G126" s="38"/>
    </row>
    <row r="127" spans="1:8" hidden="1" x14ac:dyDescent="0.2">
      <c r="A127" s="125">
        <v>67</v>
      </c>
      <c r="C127" s="22" t="s">
        <v>23</v>
      </c>
      <c r="D127" s="12"/>
      <c r="E127" s="12"/>
      <c r="F127" s="39"/>
      <c r="G127" s="38"/>
    </row>
    <row r="128" spans="1:8" hidden="1" x14ac:dyDescent="0.2">
      <c r="A128" s="125">
        <v>68</v>
      </c>
      <c r="C128" s="22" t="s">
        <v>24</v>
      </c>
      <c r="D128" s="12"/>
      <c r="E128" s="12"/>
      <c r="F128" s="39"/>
      <c r="G128" s="38"/>
    </row>
    <row r="129" spans="1:8" hidden="1" x14ac:dyDescent="0.2">
      <c r="A129" s="125">
        <v>69</v>
      </c>
      <c r="C129" s="22" t="s">
        <v>25</v>
      </c>
      <c r="D129" s="12"/>
      <c r="E129" s="12"/>
      <c r="F129" s="39"/>
      <c r="G129" s="38"/>
    </row>
    <row r="130" spans="1:8" hidden="1" x14ac:dyDescent="0.2">
      <c r="A130" s="124">
        <v>70</v>
      </c>
      <c r="C130" s="22" t="s">
        <v>26</v>
      </c>
      <c r="D130" s="12"/>
      <c r="E130" s="12"/>
      <c r="F130" s="39"/>
      <c r="G130" s="38"/>
    </row>
    <row r="131" spans="1:8" hidden="1" x14ac:dyDescent="0.2">
      <c r="A131" s="125">
        <v>71</v>
      </c>
      <c r="C131" s="22" t="s">
        <v>27</v>
      </c>
      <c r="D131" s="12"/>
      <c r="E131" s="12"/>
      <c r="F131" s="39"/>
      <c r="G131" s="38"/>
    </row>
    <row r="132" spans="1:8" hidden="1" x14ac:dyDescent="0.2">
      <c r="A132" s="125">
        <v>72</v>
      </c>
      <c r="C132" s="22" t="s">
        <v>28</v>
      </c>
      <c r="D132" s="12"/>
      <c r="E132" s="12"/>
      <c r="F132" s="39"/>
      <c r="G132" s="38"/>
    </row>
    <row r="133" spans="1:8" hidden="1" x14ac:dyDescent="0.2">
      <c r="A133" s="125">
        <v>73</v>
      </c>
      <c r="C133" s="22" t="s">
        <v>29</v>
      </c>
      <c r="D133" s="12"/>
      <c r="E133" s="12"/>
      <c r="F133" s="39"/>
      <c r="G133" s="38"/>
    </row>
    <row r="134" spans="1:8" hidden="1" x14ac:dyDescent="0.2">
      <c r="A134" s="124">
        <v>74</v>
      </c>
      <c r="C134" s="22" t="s">
        <v>30</v>
      </c>
      <c r="D134" s="12"/>
      <c r="E134" s="12"/>
      <c r="F134" s="39"/>
      <c r="G134" s="38"/>
    </row>
    <row r="135" spans="1:8" hidden="1" x14ac:dyDescent="0.2">
      <c r="A135" s="125">
        <v>75</v>
      </c>
      <c r="C135" s="22" t="s">
        <v>31</v>
      </c>
      <c r="D135" s="12"/>
      <c r="E135" s="12"/>
      <c r="F135" s="39"/>
      <c r="G135" s="38"/>
    </row>
    <row r="136" spans="1:8" hidden="1" x14ac:dyDescent="0.2">
      <c r="A136" s="125">
        <v>76</v>
      </c>
      <c r="C136" s="22" t="s">
        <v>32</v>
      </c>
      <c r="D136" s="12"/>
      <c r="E136" s="12"/>
      <c r="F136" s="39"/>
      <c r="G136" s="38"/>
    </row>
    <row r="137" spans="1:8" hidden="1" x14ac:dyDescent="0.2">
      <c r="A137" s="125">
        <v>77</v>
      </c>
      <c r="C137" s="22" t="s">
        <v>33</v>
      </c>
      <c r="D137" s="12"/>
      <c r="E137" s="12"/>
      <c r="F137" s="39"/>
      <c r="G137" s="38"/>
    </row>
    <row r="138" spans="1:8" hidden="1" x14ac:dyDescent="0.2">
      <c r="A138" s="124">
        <v>78</v>
      </c>
      <c r="C138" s="22" t="s">
        <v>34</v>
      </c>
      <c r="D138" s="12"/>
      <c r="E138" s="12"/>
      <c r="F138" s="39"/>
      <c r="G138" s="38"/>
    </row>
    <row r="139" spans="1:8" hidden="1" x14ac:dyDescent="0.2">
      <c r="A139" s="125">
        <v>79</v>
      </c>
      <c r="C139" s="22" t="s">
        <v>35</v>
      </c>
      <c r="D139" s="12"/>
      <c r="E139" s="12"/>
      <c r="F139" s="39"/>
      <c r="G139" s="38"/>
    </row>
    <row r="140" spans="1:8" hidden="1" x14ac:dyDescent="0.2">
      <c r="A140" s="125">
        <v>80</v>
      </c>
      <c r="C140" s="22" t="s">
        <v>36</v>
      </c>
      <c r="D140" s="12"/>
      <c r="E140" s="12"/>
      <c r="F140" s="39"/>
      <c r="G140" s="38"/>
    </row>
    <row r="141" spans="1:8" ht="14" x14ac:dyDescent="0.2">
      <c r="A141" s="125">
        <v>81</v>
      </c>
      <c r="C141" s="207" t="s">
        <v>37</v>
      </c>
      <c r="D141" s="208"/>
      <c r="E141" s="208"/>
      <c r="F141" s="208"/>
      <c r="G141" s="209"/>
    </row>
    <row r="142" spans="1:8" x14ac:dyDescent="0.2">
      <c r="A142" s="124">
        <v>82</v>
      </c>
      <c r="C142" s="100" t="s">
        <v>365</v>
      </c>
      <c r="D142" s="12">
        <f t="shared" ref="D142:D149" si="7">F142*$D$10</f>
        <v>12044.5</v>
      </c>
      <c r="E142" s="12"/>
      <c r="F142" s="39">
        <v>22.1</v>
      </c>
      <c r="G142" s="38">
        <v>17</v>
      </c>
    </row>
    <row r="143" spans="1:8" hidden="1" x14ac:dyDescent="0.2">
      <c r="A143" s="125">
        <v>83</v>
      </c>
      <c r="C143" s="85" t="s">
        <v>622</v>
      </c>
      <c r="D143" s="12">
        <f>F143*$D$10</f>
        <v>59464.95</v>
      </c>
      <c r="E143" s="12"/>
      <c r="F143" s="39">
        <v>109.11</v>
      </c>
      <c r="G143" s="38">
        <v>87.3</v>
      </c>
    </row>
    <row r="144" spans="1:8" ht="10.5" x14ac:dyDescent="0.2">
      <c r="A144" s="125">
        <v>1942110624</v>
      </c>
      <c r="C144" s="85" t="s">
        <v>753</v>
      </c>
      <c r="D144" s="12">
        <f>F144*$D$10</f>
        <v>57170.5</v>
      </c>
      <c r="E144" s="12"/>
      <c r="F144" s="39">
        <v>104.9</v>
      </c>
      <c r="G144" s="38">
        <v>87.42</v>
      </c>
      <c r="H144" s="154"/>
    </row>
    <row r="145" spans="1:8" ht="10.5" hidden="1" x14ac:dyDescent="0.2">
      <c r="A145" s="125">
        <v>84</v>
      </c>
      <c r="C145" s="85" t="s">
        <v>623</v>
      </c>
      <c r="D145" s="12">
        <f t="shared" si="7"/>
        <v>74665</v>
      </c>
      <c r="E145" s="12"/>
      <c r="F145" s="39">
        <v>137</v>
      </c>
      <c r="G145" s="38">
        <v>114.67</v>
      </c>
      <c r="H145" s="154"/>
    </row>
    <row r="146" spans="1:8" ht="10.5" hidden="1" x14ac:dyDescent="0.2">
      <c r="A146" s="125">
        <v>85</v>
      </c>
      <c r="C146" s="85" t="s">
        <v>624</v>
      </c>
      <c r="D146" s="12">
        <f t="shared" si="7"/>
        <v>74665</v>
      </c>
      <c r="E146" s="12"/>
      <c r="F146" s="39">
        <v>137</v>
      </c>
      <c r="G146" s="38">
        <v>114.67</v>
      </c>
      <c r="H146" s="154"/>
    </row>
    <row r="147" spans="1:8" ht="10.5" hidden="1" x14ac:dyDescent="0.2">
      <c r="A147" s="125">
        <v>1610040220</v>
      </c>
      <c r="C147" s="85" t="s">
        <v>625</v>
      </c>
      <c r="D147" s="12">
        <f>F147*$D$10</f>
        <v>80987</v>
      </c>
      <c r="E147" s="12"/>
      <c r="F147" s="39">
        <v>148.6</v>
      </c>
      <c r="G147" s="38">
        <v>123.84</v>
      </c>
      <c r="H147" s="154"/>
    </row>
    <row r="148" spans="1:8" ht="10.5" hidden="1" x14ac:dyDescent="0.2">
      <c r="A148" s="125">
        <v>1615040220</v>
      </c>
      <c r="C148" s="85" t="s">
        <v>626</v>
      </c>
      <c r="D148" s="12">
        <f>F148*$D$10</f>
        <v>80987</v>
      </c>
      <c r="E148" s="12"/>
      <c r="F148" s="39">
        <v>148.6</v>
      </c>
      <c r="G148" s="38">
        <v>123.84</v>
      </c>
      <c r="H148" s="154"/>
    </row>
    <row r="149" spans="1:8" s="103" customFormat="1" ht="20" x14ac:dyDescent="0.2">
      <c r="A149" s="126">
        <v>86</v>
      </c>
      <c r="C149" s="171" t="s">
        <v>767</v>
      </c>
      <c r="D149" s="105">
        <f t="shared" si="7"/>
        <v>89925</v>
      </c>
      <c r="E149" s="105"/>
      <c r="F149" s="106">
        <v>165</v>
      </c>
      <c r="G149" s="107">
        <v>137.5</v>
      </c>
      <c r="H149" s="154"/>
    </row>
    <row r="150" spans="1:8" ht="10.5" x14ac:dyDescent="0.2">
      <c r="A150" s="125">
        <v>88</v>
      </c>
      <c r="C150" s="165" t="s">
        <v>783</v>
      </c>
      <c r="D150" s="101">
        <f>F150*$D$10</f>
        <v>109332.45000000001</v>
      </c>
      <c r="E150" s="101"/>
      <c r="F150" s="110">
        <v>200.61</v>
      </c>
      <c r="G150" s="102">
        <v>171.46</v>
      </c>
      <c r="H150" s="154"/>
    </row>
    <row r="151" spans="1:8" ht="10.5" x14ac:dyDescent="0.2">
      <c r="A151" s="125">
        <v>88</v>
      </c>
      <c r="C151" s="85" t="s">
        <v>581</v>
      </c>
      <c r="D151" s="12">
        <f>F151*$D$10</f>
        <v>111507</v>
      </c>
      <c r="E151" s="12"/>
      <c r="F151" s="39">
        <v>204.6</v>
      </c>
      <c r="G151" s="38">
        <v>168.15</v>
      </c>
      <c r="H151" s="154"/>
    </row>
    <row r="152" spans="1:8" ht="12.75" customHeight="1" x14ac:dyDescent="0.2">
      <c r="A152" s="125">
        <v>1408120722</v>
      </c>
      <c r="C152" s="85" t="s">
        <v>684</v>
      </c>
      <c r="D152" s="12">
        <f>F152*$D$10</f>
        <v>115469.15000000001</v>
      </c>
      <c r="E152" s="12"/>
      <c r="F152" s="39">
        <v>211.87</v>
      </c>
      <c r="G152" s="38">
        <v>176.56</v>
      </c>
      <c r="H152" s="154"/>
    </row>
    <row r="153" spans="1:8" ht="10.5" hidden="1" x14ac:dyDescent="0.2">
      <c r="A153" s="125">
        <v>87</v>
      </c>
      <c r="C153" s="100" t="s">
        <v>373</v>
      </c>
      <c r="D153" s="12">
        <f t="shared" ref="D153:D158" si="8">F153*$D$10</f>
        <v>111507.00000000001</v>
      </c>
      <c r="E153" s="12"/>
      <c r="F153" s="39">
        <v>204.60000000000002</v>
      </c>
      <c r="G153" s="38">
        <v>168.15</v>
      </c>
      <c r="H153" s="154"/>
    </row>
    <row r="154" spans="1:8" ht="10.5" hidden="1" x14ac:dyDescent="0.2">
      <c r="A154" s="125">
        <v>89</v>
      </c>
      <c r="C154" s="22" t="s">
        <v>38</v>
      </c>
      <c r="D154" s="12">
        <f t="shared" si="8"/>
        <v>156616.65</v>
      </c>
      <c r="E154" s="12"/>
      <c r="F154" s="39">
        <v>287.37</v>
      </c>
      <c r="G154" s="38">
        <v>0</v>
      </c>
      <c r="H154" s="154"/>
    </row>
    <row r="155" spans="1:8" ht="10.5" hidden="1" x14ac:dyDescent="0.2">
      <c r="A155" s="124">
        <v>90</v>
      </c>
      <c r="C155" s="22" t="s">
        <v>39</v>
      </c>
      <c r="D155" s="12">
        <f t="shared" si="8"/>
        <v>156616.65</v>
      </c>
      <c r="E155" s="12"/>
      <c r="F155" s="39">
        <v>287.37</v>
      </c>
      <c r="G155" s="38">
        <v>0</v>
      </c>
      <c r="H155" s="154"/>
    </row>
    <row r="156" spans="1:8" ht="10.5" hidden="1" x14ac:dyDescent="0.2">
      <c r="A156" s="125">
        <v>91</v>
      </c>
      <c r="C156" s="22" t="s">
        <v>40</v>
      </c>
      <c r="D156" s="12">
        <f t="shared" si="8"/>
        <v>163205.70000000001</v>
      </c>
      <c r="E156" s="12"/>
      <c r="F156" s="39">
        <v>299.46000000000004</v>
      </c>
      <c r="G156" s="38">
        <v>0</v>
      </c>
      <c r="H156" s="154"/>
    </row>
    <row r="157" spans="1:8" ht="10.5" hidden="1" x14ac:dyDescent="0.2">
      <c r="A157" s="125">
        <v>92</v>
      </c>
      <c r="C157" s="22" t="s">
        <v>41</v>
      </c>
      <c r="D157" s="12">
        <f t="shared" si="8"/>
        <v>163205.70000000001</v>
      </c>
      <c r="E157" s="12"/>
      <c r="F157" s="39">
        <v>299.46000000000004</v>
      </c>
      <c r="G157" s="38">
        <v>0</v>
      </c>
      <c r="H157" s="154"/>
    </row>
    <row r="158" spans="1:8" ht="10.5" hidden="1" x14ac:dyDescent="0.2">
      <c r="A158" s="125">
        <v>1053170124</v>
      </c>
      <c r="C158" s="84" t="s">
        <v>750</v>
      </c>
      <c r="D158" s="12">
        <f t="shared" si="8"/>
        <v>115469.15000000001</v>
      </c>
      <c r="E158" s="12"/>
      <c r="F158" s="39">
        <v>211.87</v>
      </c>
      <c r="G158" s="38">
        <v>176.56</v>
      </c>
      <c r="H158" s="154"/>
    </row>
    <row r="159" spans="1:8" ht="20" x14ac:dyDescent="0.2">
      <c r="A159" s="125">
        <v>93</v>
      </c>
      <c r="C159" s="100" t="s">
        <v>374</v>
      </c>
      <c r="D159" s="12">
        <f>F159*$D$10</f>
        <v>173342.7</v>
      </c>
      <c r="E159" s="12"/>
      <c r="F159" s="39">
        <v>318.06</v>
      </c>
      <c r="G159" s="38">
        <v>270.75</v>
      </c>
      <c r="H159" s="154"/>
    </row>
    <row r="160" spans="1:8" ht="14" hidden="1" x14ac:dyDescent="0.2">
      <c r="A160" s="124">
        <v>94</v>
      </c>
      <c r="C160" s="192" t="s">
        <v>42</v>
      </c>
      <c r="D160" s="193"/>
      <c r="E160" s="193"/>
      <c r="F160" s="193"/>
      <c r="G160" s="194"/>
    </row>
    <row r="161" spans="1:7" hidden="1" x14ac:dyDescent="0.2">
      <c r="A161" s="125">
        <v>95</v>
      </c>
      <c r="C161" s="23" t="s">
        <v>43</v>
      </c>
      <c r="D161" s="24">
        <v>239900</v>
      </c>
      <c r="E161" s="25"/>
      <c r="F161" s="41"/>
      <c r="G161" s="67"/>
    </row>
    <row r="162" spans="1:7" hidden="1" x14ac:dyDescent="0.2">
      <c r="A162" s="125">
        <v>96</v>
      </c>
      <c r="C162" s="55" t="s">
        <v>44</v>
      </c>
      <c r="D162" s="12">
        <f>F162*$D$10</f>
        <v>492658.2</v>
      </c>
      <c r="E162" s="12">
        <f>G162*$F$10</f>
        <v>457432.12499999994</v>
      </c>
      <c r="F162" s="51">
        <v>903.96</v>
      </c>
      <c r="G162" s="68">
        <v>839.32499999999993</v>
      </c>
    </row>
    <row r="163" spans="1:7" ht="10.15" hidden="1" customHeight="1" x14ac:dyDescent="0.2">
      <c r="A163" s="125">
        <v>97</v>
      </c>
      <c r="C163" s="55" t="s">
        <v>45</v>
      </c>
      <c r="D163" s="12">
        <f>F163*$D$10</f>
        <v>562096.65</v>
      </c>
      <c r="E163" s="12">
        <f>G163*$F$10</f>
        <v>521891.99999999994</v>
      </c>
      <c r="F163" s="51">
        <v>1031.3700000000001</v>
      </c>
      <c r="G163" s="68">
        <v>957.59999999999991</v>
      </c>
    </row>
    <row r="164" spans="1:7" ht="14" hidden="1" x14ac:dyDescent="0.2">
      <c r="A164" s="124">
        <v>98</v>
      </c>
      <c r="C164" s="210" t="s">
        <v>46</v>
      </c>
      <c r="D164" s="211"/>
      <c r="E164" s="211"/>
      <c r="F164" s="211"/>
      <c r="G164" s="212"/>
    </row>
    <row r="165" spans="1:7" hidden="1" x14ac:dyDescent="0.2">
      <c r="A165" s="125">
        <v>99</v>
      </c>
      <c r="C165" s="23" t="s">
        <v>47</v>
      </c>
      <c r="D165" s="24"/>
      <c r="E165" s="25"/>
      <c r="F165" s="41"/>
      <c r="G165" s="67"/>
    </row>
    <row r="166" spans="1:7" hidden="1" x14ac:dyDescent="0.2">
      <c r="A166" s="125">
        <v>100</v>
      </c>
      <c r="C166" s="23" t="s">
        <v>48</v>
      </c>
      <c r="D166" s="24"/>
      <c r="E166" s="25"/>
      <c r="F166" s="41"/>
      <c r="G166" s="67"/>
    </row>
    <row r="167" spans="1:7" hidden="1" x14ac:dyDescent="0.2">
      <c r="A167" s="125">
        <v>101</v>
      </c>
      <c r="C167" s="23" t="s">
        <v>49</v>
      </c>
      <c r="D167" s="24"/>
      <c r="E167" s="25"/>
      <c r="F167" s="41"/>
      <c r="G167" s="67"/>
    </row>
    <row r="168" spans="1:7" hidden="1" x14ac:dyDescent="0.2">
      <c r="A168" s="124">
        <v>102</v>
      </c>
      <c r="C168" s="23" t="s">
        <v>50</v>
      </c>
      <c r="D168" s="24"/>
      <c r="E168" s="25"/>
      <c r="F168" s="41"/>
      <c r="G168" s="67"/>
    </row>
    <row r="169" spans="1:7" hidden="1" x14ac:dyDescent="0.2">
      <c r="A169" s="125">
        <v>103</v>
      </c>
      <c r="C169" s="23" t="s">
        <v>51</v>
      </c>
      <c r="D169" s="24"/>
      <c r="E169" s="25"/>
      <c r="F169" s="41"/>
      <c r="G169" s="67"/>
    </row>
    <row r="170" spans="1:7" hidden="1" x14ac:dyDescent="0.2">
      <c r="A170" s="125">
        <v>104</v>
      </c>
      <c r="C170" s="23" t="s">
        <v>52</v>
      </c>
      <c r="D170" s="24"/>
      <c r="E170" s="25"/>
      <c r="F170" s="41"/>
      <c r="G170" s="67"/>
    </row>
    <row r="171" spans="1:7" hidden="1" x14ac:dyDescent="0.2">
      <c r="A171" s="125">
        <v>105</v>
      </c>
      <c r="C171" s="23" t="s">
        <v>53</v>
      </c>
      <c r="D171" s="24"/>
      <c r="E171" s="25"/>
      <c r="F171" s="41"/>
      <c r="G171" s="67"/>
    </row>
    <row r="172" spans="1:7" hidden="1" x14ac:dyDescent="0.2">
      <c r="A172" s="124">
        <v>106</v>
      </c>
      <c r="C172" s="23" t="s">
        <v>54</v>
      </c>
      <c r="D172" s="24"/>
      <c r="E172" s="25"/>
      <c r="F172" s="41"/>
      <c r="G172" s="67"/>
    </row>
    <row r="173" spans="1:7" hidden="1" x14ac:dyDescent="0.2">
      <c r="A173" s="125">
        <v>107</v>
      </c>
      <c r="C173" s="23" t="s">
        <v>55</v>
      </c>
      <c r="D173" s="24"/>
      <c r="E173" s="25"/>
      <c r="F173" s="41"/>
      <c r="G173" s="67"/>
    </row>
    <row r="174" spans="1:7" hidden="1" x14ac:dyDescent="0.2">
      <c r="A174" s="125">
        <v>108</v>
      </c>
      <c r="C174" s="23" t="s">
        <v>56</v>
      </c>
      <c r="D174" s="24"/>
      <c r="E174" s="25"/>
      <c r="F174" s="41"/>
      <c r="G174" s="67"/>
    </row>
    <row r="175" spans="1:7" hidden="1" x14ac:dyDescent="0.2">
      <c r="A175" s="125">
        <v>109</v>
      </c>
      <c r="C175" s="23" t="s">
        <v>57</v>
      </c>
      <c r="D175" s="24"/>
      <c r="E175" s="25"/>
      <c r="F175" s="41"/>
      <c r="G175" s="67"/>
    </row>
    <row r="176" spans="1:7" hidden="1" x14ac:dyDescent="0.2">
      <c r="A176" s="124">
        <v>110</v>
      </c>
      <c r="C176" s="23" t="s">
        <v>58</v>
      </c>
      <c r="D176" s="24"/>
      <c r="E176" s="25"/>
      <c r="F176" s="41"/>
      <c r="G176" s="67"/>
    </row>
    <row r="177" spans="1:7" hidden="1" x14ac:dyDescent="0.2">
      <c r="A177" s="125">
        <v>111</v>
      </c>
      <c r="C177" s="23" t="s">
        <v>59</v>
      </c>
      <c r="D177" s="24"/>
      <c r="E177" s="25"/>
      <c r="F177" s="41"/>
      <c r="G177" s="67"/>
    </row>
    <row r="178" spans="1:7" hidden="1" x14ac:dyDescent="0.2">
      <c r="A178" s="125">
        <v>112</v>
      </c>
      <c r="C178" s="23" t="s">
        <v>60</v>
      </c>
      <c r="D178" s="24"/>
      <c r="E178" s="25"/>
      <c r="F178" s="41"/>
      <c r="G178" s="67"/>
    </row>
    <row r="179" spans="1:7" hidden="1" x14ac:dyDescent="0.2">
      <c r="A179" s="125">
        <v>113</v>
      </c>
      <c r="C179" s="23" t="s">
        <v>61</v>
      </c>
      <c r="D179" s="24"/>
      <c r="E179" s="25"/>
      <c r="F179" s="41"/>
      <c r="G179" s="67"/>
    </row>
    <row r="180" spans="1:7" hidden="1" x14ac:dyDescent="0.2">
      <c r="A180" s="124">
        <v>114</v>
      </c>
      <c r="C180" s="23" t="s">
        <v>62</v>
      </c>
      <c r="D180" s="24"/>
      <c r="E180" s="25"/>
      <c r="F180" s="41"/>
      <c r="G180" s="67"/>
    </row>
    <row r="181" spans="1:7" hidden="1" x14ac:dyDescent="0.2">
      <c r="A181" s="125">
        <v>115</v>
      </c>
      <c r="C181" s="23" t="s">
        <v>63</v>
      </c>
      <c r="D181" s="24"/>
      <c r="E181" s="25"/>
      <c r="F181" s="41"/>
      <c r="G181" s="67"/>
    </row>
    <row r="182" spans="1:7" hidden="1" x14ac:dyDescent="0.2">
      <c r="A182" s="125">
        <v>116</v>
      </c>
      <c r="C182" s="23" t="s">
        <v>43</v>
      </c>
      <c r="D182" s="24"/>
      <c r="E182" s="25"/>
      <c r="F182" s="41"/>
      <c r="G182" s="67"/>
    </row>
    <row r="183" spans="1:7" hidden="1" x14ac:dyDescent="0.2">
      <c r="A183" s="125">
        <v>117</v>
      </c>
      <c r="C183" s="23" t="s">
        <v>64</v>
      </c>
      <c r="D183" s="24"/>
      <c r="E183" s="25"/>
      <c r="F183" s="41"/>
      <c r="G183" s="67"/>
    </row>
    <row r="184" spans="1:7" hidden="1" x14ac:dyDescent="0.2">
      <c r="A184" s="124">
        <v>118</v>
      </c>
      <c r="C184" s="23" t="s">
        <v>65</v>
      </c>
      <c r="D184" s="24"/>
      <c r="E184" s="25"/>
      <c r="F184" s="41"/>
      <c r="G184" s="67"/>
    </row>
    <row r="185" spans="1:7" hidden="1" x14ac:dyDescent="0.2">
      <c r="A185" s="125">
        <v>119</v>
      </c>
      <c r="C185" s="23" t="s">
        <v>66</v>
      </c>
      <c r="D185" s="24"/>
      <c r="E185" s="25"/>
      <c r="F185" s="41"/>
      <c r="G185" s="67"/>
    </row>
    <row r="186" spans="1:7" hidden="1" x14ac:dyDescent="0.2">
      <c r="A186" s="125">
        <v>120</v>
      </c>
      <c r="C186" s="23" t="s">
        <v>67</v>
      </c>
      <c r="D186" s="24"/>
      <c r="E186" s="25"/>
      <c r="F186" s="41"/>
      <c r="G186" s="67"/>
    </row>
    <row r="187" spans="1:7" hidden="1" x14ac:dyDescent="0.2">
      <c r="A187" s="125">
        <v>121</v>
      </c>
      <c r="C187" s="23" t="s">
        <v>68</v>
      </c>
      <c r="D187" s="24"/>
      <c r="E187" s="25"/>
      <c r="F187" s="41"/>
      <c r="G187" s="67"/>
    </row>
    <row r="188" spans="1:7" hidden="1" x14ac:dyDescent="0.2">
      <c r="A188" s="124">
        <v>122</v>
      </c>
      <c r="C188" s="23" t="s">
        <v>69</v>
      </c>
      <c r="D188" s="24"/>
      <c r="E188" s="25"/>
      <c r="F188" s="41"/>
      <c r="G188" s="67"/>
    </row>
    <row r="189" spans="1:7" hidden="1" x14ac:dyDescent="0.2">
      <c r="A189" s="125">
        <v>123</v>
      </c>
      <c r="C189" s="23" t="s">
        <v>70</v>
      </c>
      <c r="D189" s="24"/>
      <c r="E189" s="25"/>
      <c r="F189" s="41"/>
      <c r="G189" s="67"/>
    </row>
    <row r="190" spans="1:7" hidden="1" x14ac:dyDescent="0.2">
      <c r="A190" s="125">
        <v>124</v>
      </c>
      <c r="C190" s="23" t="s">
        <v>71</v>
      </c>
      <c r="D190" s="24"/>
      <c r="E190" s="25"/>
      <c r="F190" s="41"/>
      <c r="G190" s="67"/>
    </row>
    <row r="191" spans="1:7" hidden="1" x14ac:dyDescent="0.2">
      <c r="A191" s="125">
        <v>125</v>
      </c>
      <c r="C191" s="23" t="s">
        <v>72</v>
      </c>
      <c r="D191" s="24"/>
      <c r="E191" s="25"/>
      <c r="F191" s="41"/>
      <c r="G191" s="67"/>
    </row>
    <row r="192" spans="1:7" hidden="1" x14ac:dyDescent="0.2">
      <c r="A192" s="124">
        <v>126</v>
      </c>
      <c r="C192" s="23" t="s">
        <v>73</v>
      </c>
      <c r="D192" s="24"/>
      <c r="E192" s="25"/>
      <c r="F192" s="41"/>
      <c r="G192" s="67"/>
    </row>
    <row r="193" spans="1:8" hidden="1" x14ac:dyDescent="0.2">
      <c r="A193" s="125">
        <v>127</v>
      </c>
      <c r="C193" s="23" t="s">
        <v>74</v>
      </c>
      <c r="D193" s="24"/>
      <c r="E193" s="25"/>
      <c r="F193" s="41"/>
      <c r="G193" s="67"/>
    </row>
    <row r="194" spans="1:8" hidden="1" x14ac:dyDescent="0.2">
      <c r="A194" s="125">
        <v>128</v>
      </c>
      <c r="C194" s="23" t="s">
        <v>75</v>
      </c>
      <c r="D194" s="24"/>
      <c r="E194" s="25"/>
      <c r="F194" s="41"/>
      <c r="G194" s="67"/>
    </row>
    <row r="195" spans="1:8" hidden="1" x14ac:dyDescent="0.2">
      <c r="A195" s="125">
        <v>129</v>
      </c>
      <c r="C195" s="23" t="s">
        <v>76</v>
      </c>
      <c r="D195" s="24"/>
      <c r="E195" s="25"/>
      <c r="F195" s="41"/>
      <c r="G195" s="67"/>
    </row>
    <row r="196" spans="1:8" hidden="1" x14ac:dyDescent="0.2">
      <c r="A196" s="124">
        <v>130</v>
      </c>
      <c r="C196" s="23" t="s">
        <v>77</v>
      </c>
      <c r="D196" s="24"/>
      <c r="E196" s="25"/>
      <c r="F196" s="41"/>
      <c r="G196" s="67"/>
    </row>
    <row r="197" spans="1:8" hidden="1" x14ac:dyDescent="0.2">
      <c r="A197" s="125">
        <v>131</v>
      </c>
      <c r="C197" s="23" t="s">
        <v>78</v>
      </c>
      <c r="D197" s="24"/>
      <c r="E197" s="25"/>
      <c r="F197" s="41"/>
      <c r="G197" s="67"/>
    </row>
    <row r="198" spans="1:8" ht="14" x14ac:dyDescent="0.2">
      <c r="A198" s="125">
        <v>132</v>
      </c>
      <c r="C198" s="192" t="s">
        <v>403</v>
      </c>
      <c r="D198" s="193"/>
      <c r="E198" s="193"/>
      <c r="F198" s="193"/>
      <c r="G198" s="194"/>
    </row>
    <row r="199" spans="1:8" hidden="1" x14ac:dyDescent="0.2">
      <c r="A199" s="125">
        <v>133</v>
      </c>
      <c r="C199" s="23" t="s">
        <v>43</v>
      </c>
      <c r="D199" s="24">
        <v>239900</v>
      </c>
      <c r="E199" s="25"/>
      <c r="F199" s="41"/>
      <c r="G199" s="67"/>
    </row>
    <row r="200" spans="1:8" x14ac:dyDescent="0.2">
      <c r="A200" s="124">
        <v>134</v>
      </c>
      <c r="C200" s="55" t="s">
        <v>634</v>
      </c>
      <c r="D200" s="12">
        <f t="shared" ref="D200:D208" si="9">F200*$D$10</f>
        <v>602225</v>
      </c>
      <c r="E200" s="12"/>
      <c r="F200" s="51">
        <v>1105</v>
      </c>
      <c r="G200" s="68">
        <v>850</v>
      </c>
    </row>
    <row r="201" spans="1:8" ht="10.15" hidden="1" customHeight="1" x14ac:dyDescent="0.2">
      <c r="A201" s="125">
        <v>135</v>
      </c>
      <c r="C201" s="55" t="s">
        <v>635</v>
      </c>
      <c r="D201" s="12">
        <f t="shared" si="9"/>
        <v>602225</v>
      </c>
      <c r="E201" s="12"/>
      <c r="F201" s="51">
        <v>1105</v>
      </c>
      <c r="G201" s="68">
        <v>850</v>
      </c>
    </row>
    <row r="202" spans="1:8" ht="10.15" hidden="1" customHeight="1" x14ac:dyDescent="0.2">
      <c r="A202" s="125">
        <v>2007201029</v>
      </c>
      <c r="C202" s="122" t="s">
        <v>552</v>
      </c>
      <c r="D202" s="12">
        <f t="shared" si="9"/>
        <v>0</v>
      </c>
      <c r="E202" s="12"/>
      <c r="F202" s="127"/>
      <c r="G202" s="128"/>
      <c r="H202" s="154"/>
    </row>
    <row r="203" spans="1:8" ht="10.15" customHeight="1" x14ac:dyDescent="0.2">
      <c r="A203" s="125">
        <v>1409021222</v>
      </c>
      <c r="C203" s="147" t="s">
        <v>700</v>
      </c>
      <c r="D203" s="143">
        <f t="shared" si="9"/>
        <v>968279.70000000007</v>
      </c>
      <c r="E203" s="143"/>
      <c r="F203" s="148">
        <v>1776.66</v>
      </c>
      <c r="G203" s="149">
        <v>1480.55</v>
      </c>
      <c r="H203" s="154"/>
    </row>
    <row r="204" spans="1:8" ht="10.15" hidden="1" customHeight="1" x14ac:dyDescent="0.2">
      <c r="A204" s="125">
        <v>1703010420</v>
      </c>
      <c r="C204" s="147" t="s">
        <v>636</v>
      </c>
      <c r="D204" s="143">
        <f t="shared" si="9"/>
        <v>1020240</v>
      </c>
      <c r="E204" s="143"/>
      <c r="F204" s="148">
        <v>1872</v>
      </c>
      <c r="G204" s="149">
        <v>1680</v>
      </c>
    </row>
    <row r="205" spans="1:8" ht="10.15" customHeight="1" x14ac:dyDescent="0.2">
      <c r="A205" s="125">
        <v>958110324</v>
      </c>
      <c r="C205" s="147" t="s">
        <v>752</v>
      </c>
      <c r="D205" s="143">
        <f>F205*$D$10</f>
        <v>968279.70000000007</v>
      </c>
      <c r="E205" s="143"/>
      <c r="F205" s="148">
        <v>1776.66</v>
      </c>
      <c r="G205" s="149">
        <v>1480.55</v>
      </c>
      <c r="H205" s="154"/>
    </row>
    <row r="206" spans="1:8" ht="10.15" customHeight="1" x14ac:dyDescent="0.2">
      <c r="A206" s="125">
        <v>1258190423</v>
      </c>
      <c r="C206" s="147" t="s">
        <v>718</v>
      </c>
      <c r="D206" s="143">
        <f>F206*$D$10</f>
        <v>1099613.8</v>
      </c>
      <c r="E206" s="143"/>
      <c r="F206" s="148">
        <v>2017.64</v>
      </c>
      <c r="G206" s="149">
        <v>1754.47</v>
      </c>
      <c r="H206" s="154"/>
    </row>
    <row r="207" spans="1:8" ht="10.15" customHeight="1" x14ac:dyDescent="0.2">
      <c r="A207" s="125">
        <v>1259190423</v>
      </c>
      <c r="C207" s="147" t="s">
        <v>719</v>
      </c>
      <c r="D207" s="143">
        <f>F207*$D$10</f>
        <v>1099613.8</v>
      </c>
      <c r="E207" s="143"/>
      <c r="F207" s="148">
        <v>2017.64</v>
      </c>
      <c r="G207" s="149">
        <v>1754.47</v>
      </c>
      <c r="H207" s="154"/>
    </row>
    <row r="208" spans="1:8" ht="10.15" hidden="1" customHeight="1" x14ac:dyDescent="0.2">
      <c r="A208" s="125">
        <v>1132150722</v>
      </c>
      <c r="C208" s="86" t="s">
        <v>685</v>
      </c>
      <c r="D208" s="12">
        <f t="shared" si="9"/>
        <v>1244780</v>
      </c>
      <c r="E208" s="12">
        <f t="shared" ref="E200:E208" si="10">G208*$F$10</f>
        <v>1141448</v>
      </c>
      <c r="F208" s="51">
        <v>2284</v>
      </c>
      <c r="G208" s="68">
        <v>2094.4</v>
      </c>
    </row>
    <row r="209" spans="1:8" ht="14" x14ac:dyDescent="0.2">
      <c r="A209" s="125"/>
      <c r="C209" s="192" t="s">
        <v>535</v>
      </c>
      <c r="D209" s="193"/>
      <c r="E209" s="193"/>
      <c r="F209" s="193"/>
      <c r="G209" s="194"/>
    </row>
    <row r="210" spans="1:8" hidden="1" x14ac:dyDescent="0.2">
      <c r="A210" s="125"/>
      <c r="C210" s="23" t="s">
        <v>43</v>
      </c>
      <c r="D210" s="24">
        <v>239900</v>
      </c>
      <c r="E210" s="25"/>
      <c r="F210" s="41"/>
      <c r="G210" s="67"/>
    </row>
    <row r="211" spans="1:8" ht="10.5" x14ac:dyDescent="0.2">
      <c r="A211" s="124">
        <v>1900230622</v>
      </c>
      <c r="C211" s="85" t="s">
        <v>594</v>
      </c>
      <c r="D211" s="12">
        <f>F211*$D$10</f>
        <v>67803.45</v>
      </c>
      <c r="E211" s="12"/>
      <c r="F211" s="51">
        <v>124.41</v>
      </c>
      <c r="G211" s="68">
        <v>103.68</v>
      </c>
      <c r="H211" s="154"/>
    </row>
    <row r="212" spans="1:8" ht="10.5" x14ac:dyDescent="0.2">
      <c r="A212" s="124">
        <v>1901230622</v>
      </c>
      <c r="C212" s="84" t="s">
        <v>593</v>
      </c>
      <c r="D212" s="12">
        <f>F212*$D$10</f>
        <v>67803.45</v>
      </c>
      <c r="E212" s="12"/>
      <c r="F212" s="51">
        <v>124.41</v>
      </c>
      <c r="G212" s="68">
        <v>103.68</v>
      </c>
      <c r="H212" s="154"/>
    </row>
    <row r="213" spans="1:8" x14ac:dyDescent="0.2">
      <c r="A213" s="124">
        <v>1755181219</v>
      </c>
      <c r="C213" s="55" t="s">
        <v>537</v>
      </c>
      <c r="D213" s="12">
        <f>F213*$D$10</f>
        <v>78060.349999999991</v>
      </c>
      <c r="E213" s="12"/>
      <c r="F213" s="51">
        <v>143.22999999999999</v>
      </c>
      <c r="G213" s="68">
        <v>119.36</v>
      </c>
    </row>
    <row r="214" spans="1:8" ht="10.15" customHeight="1" x14ac:dyDescent="0.2">
      <c r="A214" s="125">
        <v>1757181219</v>
      </c>
      <c r="C214" s="55" t="s">
        <v>536</v>
      </c>
      <c r="D214" s="12">
        <f>F214*$D$10</f>
        <v>87439.8</v>
      </c>
      <c r="E214" s="12"/>
      <c r="F214" s="51">
        <v>160.44</v>
      </c>
      <c r="G214" s="68">
        <v>133.71</v>
      </c>
    </row>
    <row r="215" spans="1:8" ht="10.15" customHeight="1" x14ac:dyDescent="0.2">
      <c r="A215" s="125">
        <v>1756181219</v>
      </c>
      <c r="C215" s="55" t="s">
        <v>538</v>
      </c>
      <c r="D215" s="12">
        <f>F215*$D$10</f>
        <v>88638.799999999988</v>
      </c>
      <c r="E215" s="12"/>
      <c r="F215" s="51">
        <v>162.63999999999999</v>
      </c>
      <c r="G215" s="68">
        <v>135.54</v>
      </c>
    </row>
    <row r="216" spans="1:8" ht="14" x14ac:dyDescent="0.2">
      <c r="A216" s="125">
        <v>136</v>
      </c>
      <c r="C216" s="213" t="s">
        <v>503</v>
      </c>
      <c r="D216" s="214"/>
      <c r="E216" s="214"/>
      <c r="F216" s="214"/>
      <c r="G216" s="215"/>
    </row>
    <row r="217" spans="1:8" s="103" customFormat="1" ht="20" x14ac:dyDescent="0.2">
      <c r="A217" s="126">
        <v>850060819</v>
      </c>
      <c r="C217" s="116" t="s">
        <v>627</v>
      </c>
      <c r="D217" s="105">
        <f t="shared" ref="D217:D223" si="11">F217*$D$10</f>
        <v>52647</v>
      </c>
      <c r="E217" s="105"/>
      <c r="F217" s="106">
        <v>96.6</v>
      </c>
      <c r="G217" s="163">
        <v>80.5</v>
      </c>
      <c r="H217" s="154"/>
    </row>
    <row r="218" spans="1:8" s="103" customFormat="1" ht="20" hidden="1" x14ac:dyDescent="0.2">
      <c r="A218" s="126">
        <v>8513060819</v>
      </c>
      <c r="C218" s="116" t="s">
        <v>628</v>
      </c>
      <c r="D218" s="105">
        <f t="shared" si="11"/>
        <v>150382.76174692463</v>
      </c>
      <c r="E218" s="105"/>
      <c r="F218" s="106">
        <v>275.93167293013693</v>
      </c>
      <c r="G218" s="163">
        <v>220.74533834410954</v>
      </c>
      <c r="H218" s="154"/>
    </row>
    <row r="219" spans="1:8" s="103" customFormat="1" ht="20" x14ac:dyDescent="0.2">
      <c r="A219" s="126">
        <v>8512060819</v>
      </c>
      <c r="C219" s="116" t="s">
        <v>629</v>
      </c>
      <c r="D219" s="105">
        <f t="shared" si="11"/>
        <v>146496</v>
      </c>
      <c r="E219" s="105"/>
      <c r="F219" s="106">
        <v>268.8</v>
      </c>
      <c r="G219" s="163">
        <v>224</v>
      </c>
      <c r="H219" s="154"/>
    </row>
    <row r="220" spans="1:8" s="103" customFormat="1" ht="20" hidden="1" x14ac:dyDescent="0.2">
      <c r="A220" s="126">
        <v>8514060819</v>
      </c>
      <c r="C220" s="116" t="s">
        <v>630</v>
      </c>
      <c r="D220" s="105">
        <f t="shared" si="11"/>
        <v>180693.0802475136</v>
      </c>
      <c r="E220" s="105"/>
      <c r="F220" s="106">
        <v>331.54693623396992</v>
      </c>
      <c r="G220" s="163">
        <v>265.2375489871759</v>
      </c>
      <c r="H220" s="154"/>
    </row>
    <row r="221" spans="1:8" s="103" customFormat="1" ht="20" x14ac:dyDescent="0.2">
      <c r="A221" s="126">
        <v>849060819</v>
      </c>
      <c r="C221" s="116" t="s">
        <v>631</v>
      </c>
      <c r="D221" s="105">
        <f t="shared" si="11"/>
        <v>226611</v>
      </c>
      <c r="E221" s="105"/>
      <c r="F221" s="106">
        <v>415.8</v>
      </c>
      <c r="G221" s="163">
        <v>346.5</v>
      </c>
      <c r="H221" s="154"/>
    </row>
    <row r="222" spans="1:8" s="103" customFormat="1" ht="20" x14ac:dyDescent="0.2">
      <c r="A222" s="126">
        <v>8511060819</v>
      </c>
      <c r="C222" s="116" t="s">
        <v>632</v>
      </c>
      <c r="D222" s="105">
        <f t="shared" si="11"/>
        <v>261142.2</v>
      </c>
      <c r="E222" s="105"/>
      <c r="F222" s="106">
        <v>479.16</v>
      </c>
      <c r="G222" s="163">
        <v>399.3</v>
      </c>
      <c r="H222" s="154"/>
    </row>
    <row r="223" spans="1:8" s="103" customFormat="1" ht="30" x14ac:dyDescent="0.2">
      <c r="A223" s="126">
        <v>851060819</v>
      </c>
      <c r="C223" s="116" t="s">
        <v>633</v>
      </c>
      <c r="D223" s="105">
        <f t="shared" si="11"/>
        <v>324809.10000000003</v>
      </c>
      <c r="E223" s="105"/>
      <c r="F223" s="106">
        <v>595.98</v>
      </c>
      <c r="G223" s="163">
        <v>496.65</v>
      </c>
      <c r="H223" s="154"/>
    </row>
    <row r="224" spans="1:8" ht="14" x14ac:dyDescent="0.2">
      <c r="A224" s="125">
        <v>136</v>
      </c>
      <c r="C224" s="213" t="s">
        <v>504</v>
      </c>
      <c r="D224" s="214"/>
      <c r="E224" s="214"/>
      <c r="F224" s="214"/>
      <c r="G224" s="215"/>
    </row>
    <row r="225" spans="1:8" ht="14" x14ac:dyDescent="0.2">
      <c r="A225" s="125">
        <v>137</v>
      </c>
      <c r="C225" s="172" t="s">
        <v>505</v>
      </c>
      <c r="D225" s="26"/>
      <c r="E225" s="27"/>
      <c r="F225" s="42"/>
      <c r="G225" s="69"/>
    </row>
    <row r="226" spans="1:8" ht="10.5" x14ac:dyDescent="0.2">
      <c r="A226" s="124">
        <v>138</v>
      </c>
      <c r="C226" s="63" t="s">
        <v>720</v>
      </c>
      <c r="D226" s="143">
        <f>F226*$D$10</f>
        <v>12714.849999999999</v>
      </c>
      <c r="E226" s="143"/>
      <c r="F226" s="144">
        <v>23.33</v>
      </c>
      <c r="G226" s="145">
        <v>19.440000000000001</v>
      </c>
      <c r="H226" s="154"/>
    </row>
    <row r="227" spans="1:8" ht="10.5" hidden="1" x14ac:dyDescent="0.2">
      <c r="A227" s="125">
        <v>139</v>
      </c>
      <c r="C227" s="84" t="s">
        <v>419</v>
      </c>
      <c r="D227" s="12">
        <f>F227*$D$10</f>
        <v>14338.949999999999</v>
      </c>
      <c r="E227" s="12"/>
      <c r="F227" s="39">
        <v>26.31</v>
      </c>
      <c r="G227" s="38">
        <v>19.489999999999998</v>
      </c>
      <c r="H227" s="154"/>
    </row>
    <row r="228" spans="1:8" ht="10.5" x14ac:dyDescent="0.2">
      <c r="A228" s="125">
        <v>1927070422</v>
      </c>
      <c r="C228" s="84" t="s">
        <v>721</v>
      </c>
      <c r="D228" s="12">
        <f>F228*$D$10</f>
        <v>12698.5</v>
      </c>
      <c r="E228" s="12"/>
      <c r="F228" s="39">
        <v>23.3</v>
      </c>
      <c r="G228" s="38">
        <v>18</v>
      </c>
      <c r="H228" s="154"/>
    </row>
    <row r="229" spans="1:8" ht="10.5" hidden="1" x14ac:dyDescent="0.2">
      <c r="A229" s="125">
        <v>140</v>
      </c>
      <c r="C229" s="100" t="s">
        <v>80</v>
      </c>
      <c r="D229" s="12">
        <f t="shared" ref="D229:D263" si="12">F229*$D$10</f>
        <v>14715</v>
      </c>
      <c r="E229" s="12"/>
      <c r="F229" s="39">
        <v>27</v>
      </c>
      <c r="G229" s="38">
        <v>20.475000000000001</v>
      </c>
      <c r="H229" s="154"/>
    </row>
    <row r="230" spans="1:8" ht="10.5" x14ac:dyDescent="0.2">
      <c r="A230" s="125">
        <v>1142201118</v>
      </c>
      <c r="C230" s="85" t="s">
        <v>477</v>
      </c>
      <c r="D230" s="12">
        <f>F230*$D$10</f>
        <v>15009.3</v>
      </c>
      <c r="E230" s="12"/>
      <c r="F230" s="39">
        <v>27.54</v>
      </c>
      <c r="G230" s="38">
        <v>21.05</v>
      </c>
      <c r="H230" s="154"/>
    </row>
    <row r="231" spans="1:8" ht="10.5" x14ac:dyDescent="0.2">
      <c r="A231" s="125">
        <v>141</v>
      </c>
      <c r="C231" s="100" t="s">
        <v>79</v>
      </c>
      <c r="D231" s="12">
        <f>F231*$D$10</f>
        <v>15042</v>
      </c>
      <c r="E231" s="12"/>
      <c r="F231" s="39">
        <v>27.6</v>
      </c>
      <c r="G231" s="38">
        <v>21</v>
      </c>
      <c r="H231" s="154"/>
    </row>
    <row r="232" spans="1:8" ht="10.5" x14ac:dyDescent="0.2">
      <c r="A232" s="124">
        <v>142</v>
      </c>
      <c r="C232" s="100" t="s">
        <v>81</v>
      </c>
      <c r="D232" s="12">
        <f t="shared" si="12"/>
        <v>15303.599999999999</v>
      </c>
      <c r="E232" s="12"/>
      <c r="F232" s="39">
        <v>28.08</v>
      </c>
      <c r="G232" s="38">
        <v>21.6</v>
      </c>
      <c r="H232" s="154"/>
    </row>
    <row r="233" spans="1:8" hidden="1" x14ac:dyDescent="0.2">
      <c r="A233" s="125">
        <v>143</v>
      </c>
      <c r="C233" s="8" t="s">
        <v>82</v>
      </c>
      <c r="D233" s="12">
        <f t="shared" si="12"/>
        <v>15303.599999999999</v>
      </c>
      <c r="E233" s="12"/>
      <c r="F233" s="39">
        <v>28.08</v>
      </c>
      <c r="G233" s="38">
        <v>21.6</v>
      </c>
    </row>
    <row r="234" spans="1:8" ht="10.5" x14ac:dyDescent="0.2">
      <c r="A234" s="124">
        <v>1140201118</v>
      </c>
      <c r="C234" s="85" t="s">
        <v>480</v>
      </c>
      <c r="D234" s="12">
        <f>F234*$D$10</f>
        <v>15663.3</v>
      </c>
      <c r="E234" s="12"/>
      <c r="F234" s="39">
        <v>28.74</v>
      </c>
      <c r="G234" s="38">
        <v>23</v>
      </c>
      <c r="H234" s="154"/>
    </row>
    <row r="235" spans="1:8" ht="10.5" x14ac:dyDescent="0.2">
      <c r="A235" s="125">
        <v>144</v>
      </c>
      <c r="C235" s="85" t="s">
        <v>446</v>
      </c>
      <c r="D235" s="12">
        <f t="shared" si="12"/>
        <v>15805</v>
      </c>
      <c r="E235" s="12"/>
      <c r="F235" s="39">
        <v>29</v>
      </c>
      <c r="G235" s="38">
        <v>23</v>
      </c>
      <c r="H235" s="154"/>
    </row>
    <row r="236" spans="1:8" ht="10.5" x14ac:dyDescent="0.2">
      <c r="A236" s="125">
        <v>145</v>
      </c>
      <c r="C236" s="85" t="s">
        <v>447</v>
      </c>
      <c r="D236" s="12">
        <f t="shared" si="12"/>
        <v>15805</v>
      </c>
      <c r="E236" s="12"/>
      <c r="F236" s="39">
        <v>29</v>
      </c>
      <c r="G236" s="38">
        <v>23</v>
      </c>
      <c r="H236" s="154"/>
    </row>
    <row r="237" spans="1:8" ht="10.5" hidden="1" x14ac:dyDescent="0.2">
      <c r="A237" s="124">
        <v>146</v>
      </c>
      <c r="C237" s="100" t="s">
        <v>83</v>
      </c>
      <c r="D237" s="12">
        <f t="shared" si="12"/>
        <v>8720</v>
      </c>
      <c r="E237" s="12"/>
      <c r="F237" s="39">
        <v>16</v>
      </c>
      <c r="G237" s="38">
        <v>12</v>
      </c>
      <c r="H237" s="154"/>
    </row>
    <row r="238" spans="1:8" hidden="1" x14ac:dyDescent="0.2">
      <c r="A238" s="125">
        <v>147</v>
      </c>
      <c r="C238" s="8" t="s">
        <v>84</v>
      </c>
      <c r="D238" s="12">
        <f t="shared" si="12"/>
        <v>17658</v>
      </c>
      <c r="E238" s="12"/>
      <c r="F238" s="39">
        <v>32.4</v>
      </c>
      <c r="G238" s="38">
        <v>25.38</v>
      </c>
    </row>
    <row r="239" spans="1:8" ht="10.5" x14ac:dyDescent="0.2">
      <c r="A239" s="125">
        <v>148</v>
      </c>
      <c r="C239" s="100" t="s">
        <v>85</v>
      </c>
      <c r="D239" s="12">
        <f t="shared" si="12"/>
        <v>20268.55</v>
      </c>
      <c r="E239" s="12"/>
      <c r="F239" s="39">
        <v>37.19</v>
      </c>
      <c r="G239" s="38">
        <v>30.99</v>
      </c>
      <c r="H239" s="154"/>
    </row>
    <row r="240" spans="1:8" x14ac:dyDescent="0.2">
      <c r="A240" s="125">
        <v>149</v>
      </c>
      <c r="C240" s="100" t="s">
        <v>86</v>
      </c>
      <c r="D240" s="12">
        <f t="shared" si="12"/>
        <v>17658</v>
      </c>
      <c r="E240" s="12"/>
      <c r="F240" s="39">
        <v>32.4</v>
      </c>
      <c r="G240" s="38">
        <v>27</v>
      </c>
    </row>
    <row r="241" spans="1:8" x14ac:dyDescent="0.2">
      <c r="A241" s="124">
        <v>150</v>
      </c>
      <c r="C241" s="100" t="s">
        <v>87</v>
      </c>
      <c r="D241" s="12">
        <f t="shared" si="12"/>
        <v>18246.600000000002</v>
      </c>
      <c r="E241" s="12"/>
      <c r="F241" s="39">
        <v>33.480000000000004</v>
      </c>
      <c r="G241" s="38">
        <v>27</v>
      </c>
    </row>
    <row r="242" spans="1:8" ht="10.5" x14ac:dyDescent="0.2">
      <c r="A242" s="125">
        <v>151</v>
      </c>
      <c r="C242" s="100" t="s">
        <v>88</v>
      </c>
      <c r="D242" s="12">
        <f t="shared" si="12"/>
        <v>20900.75</v>
      </c>
      <c r="E242" s="12"/>
      <c r="F242" s="39">
        <v>38.35</v>
      </c>
      <c r="G242" s="38">
        <v>31.96</v>
      </c>
      <c r="H242" s="154"/>
    </row>
    <row r="243" spans="1:8" ht="12.65" customHeight="1" x14ac:dyDescent="0.2">
      <c r="A243" s="125">
        <v>152</v>
      </c>
      <c r="C243" s="100" t="s">
        <v>94</v>
      </c>
      <c r="D243" s="12">
        <f>F243*$D$10</f>
        <v>22350.45</v>
      </c>
      <c r="E243" s="12"/>
      <c r="F243" s="39">
        <v>41.01</v>
      </c>
      <c r="G243" s="38">
        <v>34.17</v>
      </c>
      <c r="H243" s="154"/>
    </row>
    <row r="244" spans="1:8" x14ac:dyDescent="0.2">
      <c r="A244" s="125">
        <v>153</v>
      </c>
      <c r="C244" s="100" t="s">
        <v>89</v>
      </c>
      <c r="D244" s="12">
        <f t="shared" si="12"/>
        <v>18835.2</v>
      </c>
      <c r="E244" s="12"/>
      <c r="F244" s="39">
        <v>34.56</v>
      </c>
      <c r="G244" s="38">
        <v>27.45</v>
      </c>
    </row>
    <row r="245" spans="1:8" ht="10.5" x14ac:dyDescent="0.2">
      <c r="A245" s="125">
        <v>1139201118</v>
      </c>
      <c r="C245" s="85" t="s">
        <v>478</v>
      </c>
      <c r="D245" s="12">
        <f>F245*$D$10</f>
        <v>19352.95</v>
      </c>
      <c r="E245" s="12"/>
      <c r="F245" s="39">
        <v>35.51</v>
      </c>
      <c r="G245" s="38">
        <v>29.6</v>
      </c>
      <c r="H245" s="154"/>
    </row>
    <row r="246" spans="1:8" x14ac:dyDescent="0.2">
      <c r="A246" s="124">
        <v>154</v>
      </c>
      <c r="C246" s="100" t="s">
        <v>90</v>
      </c>
      <c r="D246" s="12">
        <f t="shared" si="12"/>
        <v>19423.8</v>
      </c>
      <c r="E246" s="12"/>
      <c r="F246" s="39">
        <v>35.64</v>
      </c>
      <c r="G246" s="38">
        <v>29.025000000000002</v>
      </c>
    </row>
    <row r="247" spans="1:8" x14ac:dyDescent="0.2">
      <c r="A247" s="125">
        <v>155</v>
      </c>
      <c r="C247" s="100" t="s">
        <v>91</v>
      </c>
      <c r="D247" s="12">
        <f t="shared" si="12"/>
        <v>19718.100000000002</v>
      </c>
      <c r="E247" s="12"/>
      <c r="F247" s="39">
        <v>36.180000000000007</v>
      </c>
      <c r="G247" s="38">
        <v>29.025000000000002</v>
      </c>
    </row>
    <row r="248" spans="1:8" ht="10.5" x14ac:dyDescent="0.2">
      <c r="A248" s="125">
        <v>156</v>
      </c>
      <c r="C248" s="100" t="s">
        <v>92</v>
      </c>
      <c r="D248" s="12">
        <f t="shared" si="12"/>
        <v>17685.25</v>
      </c>
      <c r="E248" s="12"/>
      <c r="F248" s="39">
        <v>32.450000000000003</v>
      </c>
      <c r="G248" s="38">
        <v>28</v>
      </c>
      <c r="H248" s="154"/>
    </row>
    <row r="249" spans="1:8" ht="10.5" x14ac:dyDescent="0.2">
      <c r="A249" s="125">
        <v>157</v>
      </c>
      <c r="C249" s="63" t="s">
        <v>93</v>
      </c>
      <c r="D249" s="143">
        <f t="shared" si="12"/>
        <v>20165</v>
      </c>
      <c r="E249" s="143"/>
      <c r="F249" s="144">
        <v>37</v>
      </c>
      <c r="G249" s="145">
        <v>30.824999999999999</v>
      </c>
      <c r="H249" s="154"/>
    </row>
    <row r="250" spans="1:8" x14ac:dyDescent="0.2">
      <c r="A250" s="124">
        <v>158</v>
      </c>
      <c r="C250" s="84" t="s">
        <v>410</v>
      </c>
      <c r="D250" s="12">
        <f t="shared" si="12"/>
        <v>22050.7</v>
      </c>
      <c r="E250" s="12"/>
      <c r="F250" s="39">
        <v>40.46</v>
      </c>
      <c r="G250" s="38">
        <v>31.12</v>
      </c>
    </row>
    <row r="251" spans="1:8" ht="10.5" x14ac:dyDescent="0.2">
      <c r="A251" s="125">
        <v>159</v>
      </c>
      <c r="C251" s="100" t="s">
        <v>95</v>
      </c>
      <c r="D251" s="12">
        <f t="shared" si="12"/>
        <v>19609.099999999999</v>
      </c>
      <c r="E251" s="12"/>
      <c r="F251" s="39">
        <v>35.979999999999997</v>
      </c>
      <c r="G251" s="38">
        <v>31.04</v>
      </c>
      <c r="H251" s="154"/>
    </row>
    <row r="252" spans="1:8" x14ac:dyDescent="0.2">
      <c r="A252" s="125">
        <v>160</v>
      </c>
      <c r="C252" s="100" t="s">
        <v>96</v>
      </c>
      <c r="D252" s="12">
        <f t="shared" si="12"/>
        <v>23298.75</v>
      </c>
      <c r="E252" s="12"/>
      <c r="F252" s="39">
        <v>42.75</v>
      </c>
      <c r="G252" s="38">
        <v>33.75</v>
      </c>
    </row>
    <row r="253" spans="1:8" ht="13.5" hidden="1" customHeight="1" x14ac:dyDescent="0.2">
      <c r="A253" s="125">
        <v>161</v>
      </c>
      <c r="C253" s="100" t="s">
        <v>352</v>
      </c>
      <c r="D253" s="12">
        <f>F253*$D$10</f>
        <v>24583.859999999997</v>
      </c>
      <c r="E253" s="12"/>
      <c r="F253" s="39">
        <v>45.107999999999997</v>
      </c>
      <c r="G253" s="38">
        <v>34.695</v>
      </c>
    </row>
    <row r="254" spans="1:8" ht="12.65" customHeight="1" x14ac:dyDescent="0.2">
      <c r="A254" s="124">
        <v>162</v>
      </c>
      <c r="C254" s="100" t="s">
        <v>97</v>
      </c>
      <c r="D254" s="12">
        <f t="shared" si="12"/>
        <v>26138.2</v>
      </c>
      <c r="E254" s="12"/>
      <c r="F254" s="39">
        <v>47.96</v>
      </c>
      <c r="G254" s="38">
        <v>39.97</v>
      </c>
      <c r="H254" s="154"/>
    </row>
    <row r="255" spans="1:8" hidden="1" x14ac:dyDescent="0.2">
      <c r="A255" s="125">
        <v>163</v>
      </c>
      <c r="C255" s="100" t="s">
        <v>98</v>
      </c>
      <c r="D255" s="12">
        <f t="shared" si="12"/>
        <v>26487</v>
      </c>
      <c r="E255" s="12"/>
      <c r="F255" s="39">
        <v>48.6</v>
      </c>
      <c r="G255" s="38">
        <v>37.800000000000004</v>
      </c>
    </row>
    <row r="256" spans="1:8" hidden="1" x14ac:dyDescent="0.2">
      <c r="A256" s="125">
        <v>164</v>
      </c>
      <c r="C256" s="8" t="s">
        <v>99</v>
      </c>
      <c r="D256" s="12">
        <f t="shared" si="12"/>
        <v>27369.899999999998</v>
      </c>
      <c r="E256" s="12"/>
      <c r="F256" s="39">
        <v>50.22</v>
      </c>
      <c r="G256" s="38">
        <v>42.075000000000003</v>
      </c>
    </row>
    <row r="257" spans="1:8" hidden="1" x14ac:dyDescent="0.2">
      <c r="A257" s="125">
        <v>165</v>
      </c>
      <c r="C257" s="8" t="s">
        <v>100</v>
      </c>
      <c r="D257" s="12">
        <f t="shared" si="12"/>
        <v>32373</v>
      </c>
      <c r="E257" s="12"/>
      <c r="F257" s="39">
        <v>59.4</v>
      </c>
      <c r="G257" s="38">
        <v>45.9</v>
      </c>
    </row>
    <row r="258" spans="1:8" hidden="1" x14ac:dyDescent="0.2">
      <c r="A258" s="124">
        <v>166</v>
      </c>
      <c r="C258" s="8" t="s">
        <v>101</v>
      </c>
      <c r="D258" s="12">
        <f t="shared" si="12"/>
        <v>34433.100000000006</v>
      </c>
      <c r="E258" s="12"/>
      <c r="F258" s="39">
        <v>63.180000000000007</v>
      </c>
      <c r="G258" s="38">
        <v>48.6</v>
      </c>
    </row>
    <row r="259" spans="1:8" x14ac:dyDescent="0.2">
      <c r="A259" s="125">
        <v>167</v>
      </c>
      <c r="C259" s="100" t="s">
        <v>102</v>
      </c>
      <c r="D259" s="12">
        <f t="shared" si="12"/>
        <v>30165.75</v>
      </c>
      <c r="E259" s="12"/>
      <c r="F259" s="39">
        <v>55.35</v>
      </c>
      <c r="G259" s="38">
        <v>42.75</v>
      </c>
    </row>
    <row r="260" spans="1:8" ht="10.5" x14ac:dyDescent="0.2">
      <c r="A260" s="125">
        <v>168</v>
      </c>
      <c r="C260" s="100" t="s">
        <v>104</v>
      </c>
      <c r="D260" s="12">
        <f>F260*$D$10</f>
        <v>26628.7</v>
      </c>
      <c r="E260" s="12"/>
      <c r="F260" s="39">
        <v>48.86</v>
      </c>
      <c r="G260" s="38">
        <v>42.15</v>
      </c>
      <c r="H260" s="154"/>
    </row>
    <row r="261" spans="1:8" ht="10.5" x14ac:dyDescent="0.2">
      <c r="A261" s="125">
        <v>1600110121</v>
      </c>
      <c r="C261" s="85" t="s">
        <v>573</v>
      </c>
      <c r="D261" s="12">
        <f>F261*$D$10</f>
        <v>29053.95</v>
      </c>
      <c r="E261" s="12"/>
      <c r="F261" s="39">
        <v>53.31</v>
      </c>
      <c r="G261" s="38">
        <v>46</v>
      </c>
      <c r="H261" s="154"/>
    </row>
    <row r="262" spans="1:8" ht="10.5" x14ac:dyDescent="0.2">
      <c r="A262" s="125">
        <v>1601110121</v>
      </c>
      <c r="C262" s="84" t="s">
        <v>572</v>
      </c>
      <c r="D262" s="12">
        <f>F262*$D$10</f>
        <v>32280.35</v>
      </c>
      <c r="E262" s="12"/>
      <c r="F262" s="39">
        <v>59.23</v>
      </c>
      <c r="G262" s="38">
        <v>51.1</v>
      </c>
      <c r="H262" s="154"/>
    </row>
    <row r="263" spans="1:8" ht="10.5" x14ac:dyDescent="0.2">
      <c r="A263" s="125">
        <v>169</v>
      </c>
      <c r="C263" s="100" t="s">
        <v>103</v>
      </c>
      <c r="D263" s="12">
        <f t="shared" si="12"/>
        <v>32280.35</v>
      </c>
      <c r="E263" s="12"/>
      <c r="F263" s="39">
        <v>59.23</v>
      </c>
      <c r="G263" s="38">
        <v>51.1</v>
      </c>
      <c r="H263" s="154"/>
    </row>
    <row r="264" spans="1:8" ht="10.5" x14ac:dyDescent="0.2">
      <c r="A264" s="124">
        <v>170</v>
      </c>
      <c r="C264" s="94" t="s">
        <v>431</v>
      </c>
      <c r="D264" s="12">
        <f>F264*$D$10</f>
        <v>33582.9</v>
      </c>
      <c r="E264" s="12"/>
      <c r="F264" s="39">
        <v>61.62</v>
      </c>
      <c r="G264" s="38">
        <v>53.16</v>
      </c>
      <c r="H264" s="154"/>
    </row>
    <row r="265" spans="1:8" ht="14" x14ac:dyDescent="0.2">
      <c r="A265" s="125">
        <v>171</v>
      </c>
      <c r="C265" s="189" t="s">
        <v>506</v>
      </c>
      <c r="D265" s="190"/>
      <c r="E265" s="190"/>
      <c r="F265" s="190"/>
      <c r="G265" s="191"/>
    </row>
    <row r="266" spans="1:8" ht="12.65" hidden="1" customHeight="1" x14ac:dyDescent="0.2">
      <c r="A266" s="125">
        <v>172</v>
      </c>
      <c r="C266" s="7" t="s">
        <v>438</v>
      </c>
      <c r="D266" s="12">
        <f>F266*$D$10</f>
        <v>5995</v>
      </c>
      <c r="E266" s="12">
        <f>G266*$F$10</f>
        <v>4719.7</v>
      </c>
      <c r="F266" s="39">
        <v>11</v>
      </c>
      <c r="G266" s="38">
        <v>8.66</v>
      </c>
    </row>
    <row r="267" spans="1:8" ht="12" hidden="1" customHeight="1" x14ac:dyDescent="0.2">
      <c r="A267" s="125">
        <v>173</v>
      </c>
      <c r="C267" s="7" t="s">
        <v>738</v>
      </c>
      <c r="D267" s="12">
        <f>F267*$D$10</f>
        <v>5995</v>
      </c>
      <c r="E267" s="12">
        <f>G267*$F$10</f>
        <v>4719.7</v>
      </c>
      <c r="F267" s="39">
        <v>11</v>
      </c>
      <c r="G267" s="38">
        <v>8.66</v>
      </c>
    </row>
    <row r="268" spans="1:8" ht="12.75" customHeight="1" x14ac:dyDescent="0.2">
      <c r="A268" s="124">
        <v>174</v>
      </c>
      <c r="C268" s="59" t="s">
        <v>501</v>
      </c>
      <c r="D268" s="12">
        <f>F268*$D$10</f>
        <v>7357.5</v>
      </c>
      <c r="E268" s="12"/>
      <c r="F268" s="39">
        <v>13.5</v>
      </c>
      <c r="G268" s="38">
        <v>10.8</v>
      </c>
    </row>
    <row r="269" spans="1:8" ht="12.75" hidden="1" customHeight="1" x14ac:dyDescent="0.2">
      <c r="A269" s="124">
        <v>1016090719</v>
      </c>
      <c r="C269" s="100" t="s">
        <v>502</v>
      </c>
      <c r="D269" s="12">
        <f>F269*$D$10</f>
        <v>8894.4</v>
      </c>
      <c r="E269" s="12"/>
      <c r="F269" s="39">
        <v>16.32</v>
      </c>
      <c r="G269" s="38">
        <v>12.6</v>
      </c>
      <c r="H269" s="154"/>
    </row>
    <row r="270" spans="1:8" x14ac:dyDescent="0.2">
      <c r="A270" s="125">
        <v>175</v>
      </c>
      <c r="C270" s="100" t="s">
        <v>105</v>
      </c>
      <c r="D270" s="12">
        <f t="shared" ref="D270:D301" si="13">F270*$D$10</f>
        <v>8829</v>
      </c>
      <c r="E270" s="12"/>
      <c r="F270" s="39">
        <v>16.2</v>
      </c>
      <c r="G270" s="38">
        <v>12.15</v>
      </c>
    </row>
    <row r="271" spans="1:8" x14ac:dyDescent="0.2">
      <c r="A271" s="125">
        <v>176</v>
      </c>
      <c r="C271" s="100" t="s">
        <v>106</v>
      </c>
      <c r="D271" s="12">
        <f t="shared" si="13"/>
        <v>9319.5</v>
      </c>
      <c r="E271" s="12"/>
      <c r="F271" s="39">
        <v>17.100000000000001</v>
      </c>
      <c r="G271" s="38">
        <v>12.6</v>
      </c>
    </row>
    <row r="272" spans="1:8" x14ac:dyDescent="0.2">
      <c r="A272" s="125">
        <v>177</v>
      </c>
      <c r="C272" s="100" t="s">
        <v>107</v>
      </c>
      <c r="D272" s="12">
        <f t="shared" si="13"/>
        <v>10300.500000000002</v>
      </c>
      <c r="E272" s="12"/>
      <c r="F272" s="39">
        <v>18.900000000000002</v>
      </c>
      <c r="G272" s="38">
        <v>15.075000000000001</v>
      </c>
    </row>
    <row r="273" spans="1:8" ht="10.5" x14ac:dyDescent="0.2">
      <c r="A273" s="124">
        <v>1021090719</v>
      </c>
      <c r="C273" s="100" t="s">
        <v>499</v>
      </c>
      <c r="D273" s="12">
        <f>F273*$D$10</f>
        <v>10562.1</v>
      </c>
      <c r="E273" s="12"/>
      <c r="F273" s="39">
        <v>19.38</v>
      </c>
      <c r="G273" s="38">
        <v>16.149999999999999</v>
      </c>
      <c r="H273" s="154"/>
    </row>
    <row r="274" spans="1:8" ht="12.75" customHeight="1" x14ac:dyDescent="0.2">
      <c r="A274" s="124">
        <v>2102181223</v>
      </c>
      <c r="C274" s="100" t="s">
        <v>500</v>
      </c>
      <c r="D274" s="12">
        <f>F274*$D$10</f>
        <v>10709.25</v>
      </c>
      <c r="E274" s="12"/>
      <c r="F274" s="39">
        <v>19.649999999999999</v>
      </c>
      <c r="G274" s="38">
        <v>15.11</v>
      </c>
      <c r="H274" s="154"/>
    </row>
    <row r="275" spans="1:8" ht="12" customHeight="1" x14ac:dyDescent="0.2">
      <c r="A275" s="125">
        <v>1627250425</v>
      </c>
      <c r="C275" s="100" t="s">
        <v>773</v>
      </c>
      <c r="D275" s="12">
        <f>F275*$D$10</f>
        <v>11831.95</v>
      </c>
      <c r="E275" s="12"/>
      <c r="F275" s="39">
        <v>21.71</v>
      </c>
      <c r="G275" s="38">
        <v>18.09</v>
      </c>
      <c r="H275" s="154"/>
    </row>
    <row r="276" spans="1:8" ht="12" customHeight="1" x14ac:dyDescent="0.2">
      <c r="A276" s="125">
        <v>1055180925</v>
      </c>
      <c r="C276" s="100" t="s">
        <v>786</v>
      </c>
      <c r="D276" s="12">
        <f>F276*$D$10</f>
        <v>12202.550000000001</v>
      </c>
      <c r="E276" s="12"/>
      <c r="F276" s="39">
        <v>22.39</v>
      </c>
      <c r="G276" s="38">
        <v>18.66</v>
      </c>
      <c r="H276" s="154"/>
    </row>
    <row r="277" spans="1:8" ht="11.25" customHeight="1" x14ac:dyDescent="0.2">
      <c r="A277" s="125">
        <v>2102181237</v>
      </c>
      <c r="C277" s="100" t="s">
        <v>455</v>
      </c>
      <c r="D277" s="12">
        <f t="shared" si="13"/>
        <v>13096.35</v>
      </c>
      <c r="E277" s="12"/>
      <c r="F277" s="39">
        <v>24.03</v>
      </c>
      <c r="G277" s="38">
        <v>20.02</v>
      </c>
      <c r="H277" s="154"/>
    </row>
    <row r="278" spans="1:8" ht="12" customHeight="1" x14ac:dyDescent="0.2">
      <c r="A278" s="125">
        <v>210218123</v>
      </c>
      <c r="C278" s="100" t="s">
        <v>456</v>
      </c>
      <c r="D278" s="12">
        <f t="shared" si="13"/>
        <v>13096.35</v>
      </c>
      <c r="E278" s="12"/>
      <c r="F278" s="39">
        <v>24.03</v>
      </c>
      <c r="G278" s="38">
        <v>20.02</v>
      </c>
      <c r="H278" s="154"/>
    </row>
    <row r="279" spans="1:8" ht="12" customHeight="1" x14ac:dyDescent="0.2">
      <c r="A279" s="125">
        <v>2102181239</v>
      </c>
      <c r="C279" s="100" t="s">
        <v>457</v>
      </c>
      <c r="D279" s="12">
        <f t="shared" si="13"/>
        <v>13096.35</v>
      </c>
      <c r="E279" s="12"/>
      <c r="F279" s="39">
        <v>24.03</v>
      </c>
      <c r="G279" s="38">
        <v>20.02</v>
      </c>
      <c r="H279" s="154"/>
    </row>
    <row r="280" spans="1:8" ht="13.5" customHeight="1" x14ac:dyDescent="0.2">
      <c r="A280" s="125">
        <v>2102181240</v>
      </c>
      <c r="C280" s="100" t="s">
        <v>458</v>
      </c>
      <c r="D280" s="12">
        <f t="shared" si="13"/>
        <v>13096.35</v>
      </c>
      <c r="E280" s="12"/>
      <c r="F280" s="39">
        <v>24.03</v>
      </c>
      <c r="G280" s="38">
        <v>20.02</v>
      </c>
      <c r="H280" s="154"/>
    </row>
    <row r="281" spans="1:8" ht="12" customHeight="1" x14ac:dyDescent="0.2">
      <c r="A281" s="125">
        <v>2102181241</v>
      </c>
      <c r="C281" s="100" t="s">
        <v>459</v>
      </c>
      <c r="D281" s="12">
        <f t="shared" si="13"/>
        <v>13096.35</v>
      </c>
      <c r="E281" s="12"/>
      <c r="F281" s="39">
        <v>24.03</v>
      </c>
      <c r="G281" s="38">
        <v>20.02</v>
      </c>
      <c r="H281" s="154"/>
    </row>
    <row r="282" spans="1:8" ht="10.5" customHeight="1" x14ac:dyDescent="0.2">
      <c r="A282" s="125">
        <v>2102181242</v>
      </c>
      <c r="C282" s="100" t="s">
        <v>460</v>
      </c>
      <c r="D282" s="12">
        <f t="shared" si="13"/>
        <v>13096.35</v>
      </c>
      <c r="E282" s="12"/>
      <c r="F282" s="39">
        <v>24.03</v>
      </c>
      <c r="G282" s="38">
        <v>20.02</v>
      </c>
      <c r="H282" s="154"/>
    </row>
    <row r="283" spans="1:8" ht="12.75" customHeight="1" x14ac:dyDescent="0.2">
      <c r="A283" s="125">
        <v>2102181243</v>
      </c>
      <c r="C283" s="100" t="s">
        <v>461</v>
      </c>
      <c r="D283" s="12">
        <f t="shared" si="13"/>
        <v>13096.35</v>
      </c>
      <c r="E283" s="12"/>
      <c r="F283" s="39">
        <v>24.03</v>
      </c>
      <c r="G283" s="38">
        <v>20.02</v>
      </c>
      <c r="H283" s="154"/>
    </row>
    <row r="284" spans="1:8" hidden="1" x14ac:dyDescent="0.2">
      <c r="A284" s="124">
        <v>178</v>
      </c>
      <c r="C284" s="7" t="s">
        <v>109</v>
      </c>
      <c r="D284" s="12">
        <f>F284*$D$10</f>
        <v>12753.000000000002</v>
      </c>
      <c r="E284" s="12"/>
      <c r="F284" s="39">
        <v>23.400000000000002</v>
      </c>
      <c r="G284" s="38">
        <v>18.900000000000002</v>
      </c>
    </row>
    <row r="285" spans="1:8" hidden="1" x14ac:dyDescent="0.2">
      <c r="A285" s="125">
        <v>179</v>
      </c>
      <c r="C285" s="59" t="s">
        <v>111</v>
      </c>
      <c r="D285" s="12">
        <f>F285*$D$10</f>
        <v>15303.599999999999</v>
      </c>
      <c r="E285" s="12"/>
      <c r="F285" s="39">
        <v>28.08</v>
      </c>
      <c r="G285" s="38">
        <v>21.6</v>
      </c>
    </row>
    <row r="286" spans="1:8" ht="12" hidden="1" customHeight="1" x14ac:dyDescent="0.2">
      <c r="A286" s="125">
        <v>180</v>
      </c>
      <c r="C286" s="59" t="s">
        <v>112</v>
      </c>
      <c r="D286" s="12">
        <f>F286*$D$10</f>
        <v>15303.599999999999</v>
      </c>
      <c r="E286" s="12"/>
      <c r="F286" s="39">
        <v>28.08</v>
      </c>
      <c r="G286" s="38">
        <v>23.175000000000001</v>
      </c>
    </row>
    <row r="287" spans="1:8" x14ac:dyDescent="0.2">
      <c r="A287" s="125">
        <v>181</v>
      </c>
      <c r="C287" s="65" t="s">
        <v>113</v>
      </c>
      <c r="D287" s="12">
        <f t="shared" si="13"/>
        <v>15303.599999999999</v>
      </c>
      <c r="E287" s="12"/>
      <c r="F287" s="39">
        <v>28.08</v>
      </c>
      <c r="G287" s="38">
        <v>23.175000000000001</v>
      </c>
    </row>
    <row r="288" spans="1:8" x14ac:dyDescent="0.2">
      <c r="A288" s="124">
        <v>182</v>
      </c>
      <c r="C288" s="59" t="s">
        <v>114</v>
      </c>
      <c r="D288" s="12">
        <f t="shared" si="13"/>
        <v>15303.599999999999</v>
      </c>
      <c r="E288" s="12"/>
      <c r="F288" s="39">
        <v>28.08</v>
      </c>
      <c r="G288" s="38">
        <v>23.175000000000001</v>
      </c>
    </row>
    <row r="289" spans="1:8" hidden="1" x14ac:dyDescent="0.2">
      <c r="A289" s="125">
        <v>183</v>
      </c>
      <c r="C289" s="63" t="s">
        <v>115</v>
      </c>
      <c r="D289" s="12">
        <f t="shared" si="13"/>
        <v>15303.599999999999</v>
      </c>
      <c r="E289" s="12"/>
      <c r="F289" s="39">
        <v>28.08</v>
      </c>
      <c r="G289" s="38">
        <v>23.175000000000001</v>
      </c>
    </row>
    <row r="290" spans="1:8" ht="10.15" customHeight="1" x14ac:dyDescent="0.2">
      <c r="A290" s="125">
        <v>184</v>
      </c>
      <c r="C290" s="100" t="s">
        <v>108</v>
      </c>
      <c r="D290" s="12">
        <f>F290*$D$10</f>
        <v>15805</v>
      </c>
      <c r="E290" s="12"/>
      <c r="F290" s="39">
        <v>29</v>
      </c>
      <c r="G290" s="38">
        <v>23.66</v>
      </c>
    </row>
    <row r="291" spans="1:8" ht="12.65" customHeight="1" x14ac:dyDescent="0.2">
      <c r="A291" s="125">
        <v>185</v>
      </c>
      <c r="C291" s="100" t="s">
        <v>739</v>
      </c>
      <c r="D291" s="12">
        <f>F291*$D$10</f>
        <v>15805</v>
      </c>
      <c r="E291" s="12"/>
      <c r="F291" s="39">
        <v>29</v>
      </c>
      <c r="G291" s="38">
        <v>23.66</v>
      </c>
    </row>
    <row r="292" spans="1:8" ht="12.75" customHeight="1" x14ac:dyDescent="0.2">
      <c r="A292" s="124">
        <v>186</v>
      </c>
      <c r="C292" s="63" t="s">
        <v>110</v>
      </c>
      <c r="D292" s="12">
        <f>F292*$D$10</f>
        <v>15805</v>
      </c>
      <c r="E292" s="12"/>
      <c r="F292" s="39">
        <v>29</v>
      </c>
      <c r="G292" s="38">
        <v>23.66</v>
      </c>
    </row>
    <row r="293" spans="1:8" ht="16.5" customHeight="1" x14ac:dyDescent="0.2">
      <c r="A293" s="125">
        <v>187</v>
      </c>
      <c r="C293" s="63" t="s">
        <v>740</v>
      </c>
      <c r="D293" s="12">
        <f>F293*$D$10</f>
        <v>15805</v>
      </c>
      <c r="E293" s="12"/>
      <c r="F293" s="39">
        <v>29</v>
      </c>
      <c r="G293" s="38">
        <v>23.66</v>
      </c>
    </row>
    <row r="294" spans="1:8" x14ac:dyDescent="0.2">
      <c r="A294" s="125">
        <v>188</v>
      </c>
      <c r="C294" s="59" t="s">
        <v>116</v>
      </c>
      <c r="D294" s="12">
        <f t="shared" si="13"/>
        <v>16186.5</v>
      </c>
      <c r="E294" s="12"/>
      <c r="F294" s="39">
        <v>29.7</v>
      </c>
      <c r="G294" s="38">
        <v>21.6</v>
      </c>
    </row>
    <row r="295" spans="1:8" ht="20" hidden="1" x14ac:dyDescent="0.2">
      <c r="A295" s="125">
        <v>189</v>
      </c>
      <c r="C295" s="59" t="s">
        <v>117</v>
      </c>
      <c r="D295" s="12">
        <f t="shared" si="13"/>
        <v>16480.8</v>
      </c>
      <c r="E295" s="12"/>
      <c r="F295" s="39">
        <v>30.240000000000002</v>
      </c>
      <c r="G295" s="38">
        <v>23.175000000000001</v>
      </c>
    </row>
    <row r="296" spans="1:8" hidden="1" x14ac:dyDescent="0.2">
      <c r="A296" s="124">
        <v>190</v>
      </c>
      <c r="C296" s="70" t="s">
        <v>118</v>
      </c>
      <c r="D296" s="12">
        <f t="shared" si="13"/>
        <v>17658</v>
      </c>
      <c r="E296" s="12"/>
      <c r="F296" s="39">
        <v>32.4</v>
      </c>
      <c r="G296" s="38">
        <v>27</v>
      </c>
    </row>
    <row r="297" spans="1:8" ht="20" x14ac:dyDescent="0.2">
      <c r="A297" s="125">
        <v>191</v>
      </c>
      <c r="C297" s="59" t="s">
        <v>119</v>
      </c>
      <c r="D297" s="12">
        <f t="shared" si="13"/>
        <v>19129.5</v>
      </c>
      <c r="E297" s="12"/>
      <c r="F297" s="39">
        <v>35.1</v>
      </c>
      <c r="G297" s="38">
        <v>28.125</v>
      </c>
    </row>
    <row r="298" spans="1:8" ht="12.75" customHeight="1" x14ac:dyDescent="0.2">
      <c r="A298" s="124">
        <v>1017090719</v>
      </c>
      <c r="C298" s="112" t="s">
        <v>774</v>
      </c>
      <c r="D298" s="95">
        <f>F298*$D$10</f>
        <v>19211.25</v>
      </c>
      <c r="E298" s="95"/>
      <c r="F298" s="104">
        <v>35.25</v>
      </c>
      <c r="G298" s="96">
        <v>28</v>
      </c>
      <c r="H298" s="156"/>
    </row>
    <row r="299" spans="1:8" ht="12.75" customHeight="1" x14ac:dyDescent="0.2">
      <c r="A299" s="124">
        <v>1609130125</v>
      </c>
      <c r="C299" s="84" t="s">
        <v>764</v>
      </c>
      <c r="D299" s="95">
        <f>F299*$D$10</f>
        <v>23391.4</v>
      </c>
      <c r="E299" s="95"/>
      <c r="F299" s="104">
        <v>42.92</v>
      </c>
      <c r="G299" s="96">
        <v>37.32</v>
      </c>
      <c r="H299" s="154"/>
    </row>
    <row r="300" spans="1:8" ht="12" hidden="1" customHeight="1" x14ac:dyDescent="0.2">
      <c r="A300" s="125">
        <v>192</v>
      </c>
      <c r="C300" s="7" t="s">
        <v>120</v>
      </c>
      <c r="D300" s="12">
        <f t="shared" si="13"/>
        <v>21091.5</v>
      </c>
      <c r="E300" s="12">
        <f t="shared" ref="E268:E301" si="14">G300*$F$10</f>
        <v>17658</v>
      </c>
      <c r="F300" s="39">
        <v>38.700000000000003</v>
      </c>
      <c r="G300" s="38">
        <v>32.4</v>
      </c>
    </row>
    <row r="301" spans="1:8" hidden="1" x14ac:dyDescent="0.2">
      <c r="A301" s="125">
        <v>193</v>
      </c>
      <c r="C301" s="100" t="s">
        <v>121</v>
      </c>
      <c r="D301" s="12">
        <f t="shared" si="13"/>
        <v>24034.5</v>
      </c>
      <c r="E301" s="12">
        <f t="shared" si="14"/>
        <v>19620</v>
      </c>
      <c r="F301" s="39">
        <v>44.1</v>
      </c>
      <c r="G301" s="38">
        <v>36</v>
      </c>
    </row>
    <row r="302" spans="1:8" ht="14" x14ac:dyDescent="0.2">
      <c r="A302" s="124">
        <v>194</v>
      </c>
      <c r="C302" s="197" t="s">
        <v>507</v>
      </c>
      <c r="D302" s="201"/>
      <c r="E302" s="29"/>
      <c r="F302" s="43"/>
      <c r="G302" s="71"/>
    </row>
    <row r="303" spans="1:8" hidden="1" x14ac:dyDescent="0.2">
      <c r="A303" s="125">
        <v>195</v>
      </c>
      <c r="C303" s="4" t="s">
        <v>122</v>
      </c>
      <c r="D303" s="12">
        <f t="shared" ref="D303:E309" si="15">F303*$D$10</f>
        <v>35970</v>
      </c>
      <c r="E303" s="12">
        <f t="shared" si="15"/>
        <v>27795</v>
      </c>
      <c r="F303" s="39">
        <v>66</v>
      </c>
      <c r="G303" s="38">
        <v>51</v>
      </c>
    </row>
    <row r="304" spans="1:8" ht="10.5" x14ac:dyDescent="0.2">
      <c r="A304" s="125">
        <v>1010090719</v>
      </c>
      <c r="C304" s="100" t="s">
        <v>497</v>
      </c>
      <c r="D304" s="12">
        <f t="shared" si="15"/>
        <v>30917.85</v>
      </c>
      <c r="E304" s="12"/>
      <c r="F304" s="39">
        <v>56.73</v>
      </c>
      <c r="G304" s="38">
        <v>43.64</v>
      </c>
      <c r="H304" s="154"/>
    </row>
    <row r="305" spans="1:8" ht="10.5" x14ac:dyDescent="0.2">
      <c r="A305" s="125">
        <v>196</v>
      </c>
      <c r="C305" s="112" t="s">
        <v>123</v>
      </c>
      <c r="D305" s="95">
        <f t="shared" si="15"/>
        <v>71618.45</v>
      </c>
      <c r="E305" s="95"/>
      <c r="F305" s="104">
        <v>131.41</v>
      </c>
      <c r="G305" s="96">
        <v>109.51</v>
      </c>
      <c r="H305" s="154"/>
    </row>
    <row r="306" spans="1:8" ht="10.5" x14ac:dyDescent="0.2">
      <c r="A306" s="125">
        <v>197</v>
      </c>
      <c r="C306" s="112" t="s">
        <v>124</v>
      </c>
      <c r="D306" s="95">
        <f t="shared" si="15"/>
        <v>66342.850000000006</v>
      </c>
      <c r="E306" s="95"/>
      <c r="F306" s="104">
        <v>121.73</v>
      </c>
      <c r="G306" s="96">
        <v>101.44</v>
      </c>
      <c r="H306" s="154"/>
    </row>
    <row r="307" spans="1:8" ht="10.5" x14ac:dyDescent="0.2">
      <c r="A307" s="124">
        <v>198</v>
      </c>
      <c r="C307" s="112" t="s">
        <v>125</v>
      </c>
      <c r="D307" s="95">
        <f t="shared" si="15"/>
        <v>83515.8</v>
      </c>
      <c r="E307" s="95"/>
      <c r="F307" s="104">
        <v>153.24</v>
      </c>
      <c r="G307" s="96">
        <v>127.7</v>
      </c>
      <c r="H307" s="154"/>
    </row>
    <row r="308" spans="1:8" ht="10.5" x14ac:dyDescent="0.2">
      <c r="A308" s="125">
        <v>199</v>
      </c>
      <c r="C308" s="112" t="s">
        <v>126</v>
      </c>
      <c r="D308" s="95">
        <f t="shared" si="15"/>
        <v>136974.85</v>
      </c>
      <c r="E308" s="95"/>
      <c r="F308" s="104">
        <v>251.33</v>
      </c>
      <c r="G308" s="96">
        <v>218.55</v>
      </c>
      <c r="H308" s="154"/>
    </row>
    <row r="309" spans="1:8" ht="10.5" x14ac:dyDescent="0.2">
      <c r="A309" s="125">
        <v>200</v>
      </c>
      <c r="C309" s="100" t="s">
        <v>127</v>
      </c>
      <c r="D309" s="12">
        <f t="shared" si="15"/>
        <v>121780.25</v>
      </c>
      <c r="E309" s="12"/>
      <c r="F309" s="39">
        <v>223.45</v>
      </c>
      <c r="G309" s="38">
        <v>186.21</v>
      </c>
      <c r="H309" s="154"/>
    </row>
    <row r="310" spans="1:8" ht="14" x14ac:dyDescent="0.2">
      <c r="A310" s="125">
        <v>201</v>
      </c>
      <c r="C310" s="197" t="s">
        <v>508</v>
      </c>
      <c r="D310" s="201"/>
      <c r="E310" s="201"/>
      <c r="F310" s="201"/>
      <c r="G310" s="202"/>
    </row>
    <row r="311" spans="1:8" ht="10.5" x14ac:dyDescent="0.2">
      <c r="A311" s="124">
        <v>2102181231</v>
      </c>
      <c r="C311" s="100" t="s">
        <v>454</v>
      </c>
      <c r="D311" s="12">
        <f t="shared" ref="D311:D324" si="16">F311*$D$10</f>
        <v>15042</v>
      </c>
      <c r="E311" s="12"/>
      <c r="F311" s="39">
        <v>27.6</v>
      </c>
      <c r="G311" s="38">
        <v>20.440000000000001</v>
      </c>
      <c r="H311" s="154"/>
    </row>
    <row r="312" spans="1:8" ht="10.5" x14ac:dyDescent="0.2">
      <c r="A312" s="124">
        <v>1407190122</v>
      </c>
      <c r="C312" s="100" t="s">
        <v>587</v>
      </c>
      <c r="D312" s="12">
        <f t="shared" si="16"/>
        <v>19363.850000000002</v>
      </c>
      <c r="E312" s="12"/>
      <c r="F312" s="39">
        <v>35.53</v>
      </c>
      <c r="G312" s="38">
        <v>29.61</v>
      </c>
      <c r="H312" s="154"/>
    </row>
    <row r="313" spans="1:8" ht="10.5" x14ac:dyDescent="0.2">
      <c r="A313" s="124">
        <v>1013090719</v>
      </c>
      <c r="C313" s="100" t="s">
        <v>498</v>
      </c>
      <c r="D313" s="12">
        <f>F313*$D$10</f>
        <v>23178.850000000002</v>
      </c>
      <c r="E313" s="12"/>
      <c r="F313" s="39">
        <v>42.53</v>
      </c>
      <c r="G313" s="38">
        <v>32.71</v>
      </c>
      <c r="H313" s="154"/>
    </row>
    <row r="314" spans="1:8" x14ac:dyDescent="0.2">
      <c r="A314" s="125">
        <v>202</v>
      </c>
      <c r="C314" s="59" t="s">
        <v>396</v>
      </c>
      <c r="D314" s="12">
        <f t="shared" si="16"/>
        <v>32373</v>
      </c>
      <c r="E314" s="12"/>
      <c r="F314" s="39">
        <v>59.4</v>
      </c>
      <c r="G314" s="38">
        <v>49.5</v>
      </c>
    </row>
    <row r="315" spans="1:8" ht="10.5" x14ac:dyDescent="0.2">
      <c r="A315" s="125">
        <v>203</v>
      </c>
      <c r="C315" s="100" t="s">
        <v>434</v>
      </c>
      <c r="D315" s="12">
        <f t="shared" si="16"/>
        <v>47578.5</v>
      </c>
      <c r="E315" s="12"/>
      <c r="F315" s="39">
        <v>87.3</v>
      </c>
      <c r="G315" s="38">
        <v>72.75</v>
      </c>
      <c r="H315" s="154"/>
    </row>
    <row r="316" spans="1:8" ht="10.5" x14ac:dyDescent="0.2">
      <c r="A316" s="125">
        <v>204</v>
      </c>
      <c r="C316" s="100" t="s">
        <v>443</v>
      </c>
      <c r="D316" s="12">
        <f t="shared" si="16"/>
        <v>34411.300000000003</v>
      </c>
      <c r="E316" s="12"/>
      <c r="F316" s="39">
        <v>63.14</v>
      </c>
      <c r="G316" s="38">
        <v>50.02</v>
      </c>
      <c r="H316" s="154"/>
    </row>
    <row r="317" spans="1:8" ht="10.5" x14ac:dyDescent="0.2">
      <c r="A317" s="125">
        <v>205</v>
      </c>
      <c r="C317" s="100" t="s">
        <v>444</v>
      </c>
      <c r="D317" s="12">
        <f t="shared" si="16"/>
        <v>38913</v>
      </c>
      <c r="E317" s="12"/>
      <c r="F317" s="39">
        <v>71.400000000000006</v>
      </c>
      <c r="G317" s="38">
        <v>56.56</v>
      </c>
      <c r="H317" s="154"/>
    </row>
    <row r="318" spans="1:8" ht="10.5" x14ac:dyDescent="0.2">
      <c r="A318" s="124">
        <v>206</v>
      </c>
      <c r="C318" s="100" t="s">
        <v>445</v>
      </c>
      <c r="D318" s="12">
        <f t="shared" si="16"/>
        <v>38913</v>
      </c>
      <c r="E318" s="12"/>
      <c r="F318" s="39">
        <v>71.400000000000006</v>
      </c>
      <c r="G318" s="38">
        <v>56.56</v>
      </c>
      <c r="H318" s="154"/>
    </row>
    <row r="319" spans="1:8" ht="10.5" x14ac:dyDescent="0.2">
      <c r="A319" s="125">
        <v>207</v>
      </c>
      <c r="C319" s="100" t="s">
        <v>433</v>
      </c>
      <c r="D319" s="12">
        <f t="shared" si="16"/>
        <v>43131.3</v>
      </c>
      <c r="E319" s="12"/>
      <c r="F319" s="39">
        <v>79.14</v>
      </c>
      <c r="G319" s="38">
        <v>65.95</v>
      </c>
      <c r="H319" s="154"/>
    </row>
    <row r="320" spans="1:8" hidden="1" x14ac:dyDescent="0.2">
      <c r="A320" s="125">
        <v>209</v>
      </c>
      <c r="C320" s="100" t="s">
        <v>128</v>
      </c>
      <c r="D320" s="12">
        <f t="shared" si="16"/>
        <v>43262.100000000006</v>
      </c>
      <c r="E320" s="12"/>
      <c r="F320" s="39">
        <v>79.38000000000001</v>
      </c>
      <c r="G320" s="38">
        <v>60.975000000000001</v>
      </c>
    </row>
    <row r="321" spans="1:8" ht="10.5" x14ac:dyDescent="0.2">
      <c r="A321" s="125">
        <v>1336141122</v>
      </c>
      <c r="C321" s="100" t="s">
        <v>733</v>
      </c>
      <c r="D321" s="12">
        <f>F321*$D$10</f>
        <v>42820.649999999994</v>
      </c>
      <c r="E321" s="12"/>
      <c r="F321" s="39">
        <v>78.569999999999993</v>
      </c>
      <c r="G321" s="38">
        <v>65.48</v>
      </c>
      <c r="H321" s="154"/>
    </row>
    <row r="322" spans="1:8" ht="10.5" hidden="1" x14ac:dyDescent="0.2">
      <c r="A322" s="125">
        <v>1150201118</v>
      </c>
      <c r="C322" s="100" t="s">
        <v>481</v>
      </c>
      <c r="D322" s="12">
        <f t="shared" si="16"/>
        <v>47583.950000000004</v>
      </c>
      <c r="E322" s="12"/>
      <c r="F322" s="39">
        <v>87.31</v>
      </c>
      <c r="G322" s="38">
        <v>67.08</v>
      </c>
      <c r="H322" s="154"/>
    </row>
    <row r="323" spans="1:8" ht="10.5" x14ac:dyDescent="0.2">
      <c r="A323" s="125">
        <v>1335141122</v>
      </c>
      <c r="C323" s="100" t="s">
        <v>697</v>
      </c>
      <c r="D323" s="12">
        <f>F323*$D$10</f>
        <v>54813.919999999998</v>
      </c>
      <c r="E323" s="12"/>
      <c r="F323" s="39">
        <v>100.57599999999999</v>
      </c>
      <c r="G323" s="38">
        <v>83.82</v>
      </c>
      <c r="H323" s="154"/>
    </row>
    <row r="324" spans="1:8" ht="10.5" x14ac:dyDescent="0.2">
      <c r="A324" s="125">
        <v>1151201118</v>
      </c>
      <c r="C324" s="100" t="s">
        <v>479</v>
      </c>
      <c r="D324" s="12">
        <f t="shared" si="16"/>
        <v>52341.8</v>
      </c>
      <c r="E324" s="12"/>
      <c r="F324" s="39">
        <v>96.04</v>
      </c>
      <c r="G324" s="38">
        <v>73.790000000000006</v>
      </c>
      <c r="H324" s="154"/>
    </row>
    <row r="325" spans="1:8" hidden="1" x14ac:dyDescent="0.2">
      <c r="A325" s="124">
        <v>210</v>
      </c>
      <c r="C325" s="59" t="s">
        <v>129</v>
      </c>
      <c r="D325" s="12">
        <f t="shared" ref="D325:D333" si="17">F325*$D$10</f>
        <v>52679.700000000004</v>
      </c>
      <c r="E325" s="12"/>
      <c r="F325" s="39">
        <v>96.660000000000011</v>
      </c>
      <c r="G325" s="38">
        <v>77.174999999999997</v>
      </c>
    </row>
    <row r="326" spans="1:8" hidden="1" x14ac:dyDescent="0.2">
      <c r="A326" s="125">
        <v>211</v>
      </c>
      <c r="C326" s="59" t="s">
        <v>130</v>
      </c>
      <c r="D326" s="12">
        <f t="shared" si="17"/>
        <v>52679.700000000004</v>
      </c>
      <c r="E326" s="12"/>
      <c r="F326" s="39">
        <v>96.660000000000011</v>
      </c>
      <c r="G326" s="38">
        <v>77.174999999999997</v>
      </c>
    </row>
    <row r="327" spans="1:8" ht="10.5" x14ac:dyDescent="0.2">
      <c r="A327" s="125">
        <v>208</v>
      </c>
      <c r="C327" s="100" t="s">
        <v>442</v>
      </c>
      <c r="D327" s="12">
        <f>F327*$D$10</f>
        <v>58026.15</v>
      </c>
      <c r="E327" s="12"/>
      <c r="F327" s="39">
        <v>106.47</v>
      </c>
      <c r="G327" s="38">
        <v>84.35</v>
      </c>
      <c r="H327" s="154"/>
    </row>
    <row r="328" spans="1:8" hidden="1" x14ac:dyDescent="0.2">
      <c r="A328" s="125">
        <v>212</v>
      </c>
      <c r="C328" s="59" t="s">
        <v>131</v>
      </c>
      <c r="D328" s="12">
        <f t="shared" si="17"/>
        <v>62391.6</v>
      </c>
      <c r="E328" s="12"/>
      <c r="F328" s="39">
        <v>114.48</v>
      </c>
      <c r="G328" s="38">
        <v>91.8</v>
      </c>
    </row>
    <row r="329" spans="1:8" hidden="1" x14ac:dyDescent="0.2">
      <c r="A329" s="125">
        <v>213</v>
      </c>
      <c r="C329" s="63" t="s">
        <v>132</v>
      </c>
      <c r="D329" s="12">
        <f t="shared" si="17"/>
        <v>63274.500000000007</v>
      </c>
      <c r="E329" s="12"/>
      <c r="F329" s="39">
        <v>116.10000000000001</v>
      </c>
      <c r="G329" s="38">
        <v>89.100000000000009</v>
      </c>
    </row>
    <row r="330" spans="1:8" ht="10.5" x14ac:dyDescent="0.2">
      <c r="A330" s="124">
        <v>214</v>
      </c>
      <c r="C330" s="100" t="s">
        <v>344</v>
      </c>
      <c r="D330" s="12">
        <f t="shared" si="17"/>
        <v>70245.049999999988</v>
      </c>
      <c r="E330" s="12"/>
      <c r="F330" s="39">
        <v>128.88999999999999</v>
      </c>
      <c r="G330" s="38">
        <v>107.4</v>
      </c>
      <c r="H330" s="154"/>
    </row>
    <row r="331" spans="1:8" ht="10.5" x14ac:dyDescent="0.2">
      <c r="A331" s="125">
        <v>215</v>
      </c>
      <c r="C331" s="100" t="s">
        <v>133</v>
      </c>
      <c r="D331" s="12">
        <f t="shared" si="17"/>
        <v>84714.8</v>
      </c>
      <c r="E331" s="12"/>
      <c r="F331" s="39">
        <v>155.44</v>
      </c>
      <c r="G331" s="38">
        <v>139.93</v>
      </c>
      <c r="H331" s="154"/>
    </row>
    <row r="332" spans="1:8" ht="10.5" x14ac:dyDescent="0.2">
      <c r="A332" s="125">
        <v>1614130125</v>
      </c>
      <c r="C332" s="100" t="s">
        <v>766</v>
      </c>
      <c r="D332" s="12">
        <f t="shared" si="17"/>
        <v>73847.5</v>
      </c>
      <c r="E332" s="12"/>
      <c r="F332" s="39">
        <v>135.5</v>
      </c>
      <c r="G332" s="38">
        <v>112.91</v>
      </c>
      <c r="H332" s="154"/>
    </row>
    <row r="333" spans="1:8" ht="10.5" x14ac:dyDescent="0.2">
      <c r="A333" s="125">
        <v>1615130125</v>
      </c>
      <c r="C333" s="100" t="s">
        <v>765</v>
      </c>
      <c r="D333" s="12">
        <f t="shared" si="17"/>
        <v>90252</v>
      </c>
      <c r="E333" s="12"/>
      <c r="F333" s="39">
        <v>165.6</v>
      </c>
      <c r="G333" s="38">
        <v>138</v>
      </c>
      <c r="H333" s="154"/>
    </row>
    <row r="334" spans="1:8" ht="10.5" x14ac:dyDescent="0.2">
      <c r="A334" s="125">
        <v>1257040920</v>
      </c>
      <c r="C334" s="84" t="s">
        <v>553</v>
      </c>
      <c r="D334" s="12">
        <f>F334*$D$10</f>
        <v>72185.25</v>
      </c>
      <c r="E334" s="12"/>
      <c r="F334" s="39">
        <v>132.44999999999999</v>
      </c>
      <c r="G334" s="38">
        <v>105.96</v>
      </c>
      <c r="H334" s="154"/>
    </row>
    <row r="335" spans="1:8" ht="14" x14ac:dyDescent="0.2">
      <c r="A335" s="125">
        <v>220</v>
      </c>
      <c r="C335" s="189" t="s">
        <v>544</v>
      </c>
      <c r="D335" s="190"/>
      <c r="E335" s="190"/>
      <c r="F335" s="190"/>
      <c r="G335" s="191"/>
    </row>
    <row r="336" spans="1:8" ht="10.5" x14ac:dyDescent="0.2">
      <c r="A336" s="125">
        <v>2608211837</v>
      </c>
      <c r="C336" s="70" t="s">
        <v>580</v>
      </c>
      <c r="D336" s="12">
        <f t="shared" ref="D336:D343" si="18">F336*$D$10</f>
        <v>3106.5</v>
      </c>
      <c r="E336" s="12"/>
      <c r="F336" s="39">
        <v>5.7</v>
      </c>
      <c r="G336" s="38">
        <v>4.75</v>
      </c>
      <c r="H336" s="154"/>
    </row>
    <row r="337" spans="1:8" ht="10.5" x14ac:dyDescent="0.2">
      <c r="A337" s="125">
        <v>1011090719</v>
      </c>
      <c r="C337" s="58" t="s">
        <v>496</v>
      </c>
      <c r="D337" s="12">
        <f t="shared" si="18"/>
        <v>7842.55</v>
      </c>
      <c r="E337" s="12"/>
      <c r="F337" s="39">
        <v>14.39</v>
      </c>
      <c r="G337" s="38">
        <v>11.07</v>
      </c>
      <c r="H337" s="154"/>
    </row>
    <row r="338" spans="1:8" x14ac:dyDescent="0.2">
      <c r="A338" s="125">
        <v>221</v>
      </c>
      <c r="C338" s="31" t="s">
        <v>351</v>
      </c>
      <c r="D338" s="12">
        <f t="shared" si="18"/>
        <v>9667.755000000001</v>
      </c>
      <c r="E338" s="12"/>
      <c r="F338" s="39">
        <v>17.739000000000001</v>
      </c>
      <c r="G338" s="38">
        <v>14.787000000000001</v>
      </c>
    </row>
    <row r="339" spans="1:8" ht="10.5" x14ac:dyDescent="0.2">
      <c r="A339" s="125">
        <v>1427221121</v>
      </c>
      <c r="C339" s="84" t="s">
        <v>585</v>
      </c>
      <c r="D339" s="12">
        <f>F339*$D$10</f>
        <v>10409.5</v>
      </c>
      <c r="E339" s="12"/>
      <c r="F339" s="39">
        <v>19.100000000000001</v>
      </c>
      <c r="G339" s="38">
        <v>16.239999999999998</v>
      </c>
      <c r="H339" s="154"/>
    </row>
    <row r="340" spans="1:8" hidden="1" x14ac:dyDescent="0.2">
      <c r="A340" s="124">
        <v>222</v>
      </c>
      <c r="C340" s="58" t="s">
        <v>367</v>
      </c>
      <c r="D340" s="12">
        <f t="shared" si="18"/>
        <v>10447.650000000001</v>
      </c>
      <c r="E340" s="12"/>
      <c r="F340" s="39">
        <v>19.170000000000002</v>
      </c>
      <c r="G340" s="38">
        <v>15.91</v>
      </c>
    </row>
    <row r="341" spans="1:8" ht="10.5" x14ac:dyDescent="0.2">
      <c r="A341" s="124">
        <v>1003211240</v>
      </c>
      <c r="C341" s="58" t="s">
        <v>579</v>
      </c>
      <c r="D341" s="12">
        <f t="shared" si="18"/>
        <v>10654.75</v>
      </c>
      <c r="E341" s="12"/>
      <c r="F341" s="39">
        <v>19.55</v>
      </c>
      <c r="G341" s="38">
        <v>16.61</v>
      </c>
      <c r="H341" s="154"/>
    </row>
    <row r="342" spans="1:8" ht="10.5" x14ac:dyDescent="0.2">
      <c r="A342" s="124">
        <v>1007091123</v>
      </c>
      <c r="C342" s="58" t="s">
        <v>763</v>
      </c>
      <c r="D342" s="12">
        <f>F342*$D$10</f>
        <v>11962.75</v>
      </c>
      <c r="E342" s="12"/>
      <c r="F342" s="39">
        <v>21.95</v>
      </c>
      <c r="G342" s="38">
        <v>18.600000000000001</v>
      </c>
      <c r="H342" s="154"/>
    </row>
    <row r="343" spans="1:8" x14ac:dyDescent="0.2">
      <c r="A343" s="125">
        <v>223</v>
      </c>
      <c r="C343" s="58" t="s">
        <v>137</v>
      </c>
      <c r="D343" s="12">
        <f t="shared" si="18"/>
        <v>11036.25</v>
      </c>
      <c r="E343" s="12"/>
      <c r="F343" s="39">
        <v>20.25</v>
      </c>
      <c r="G343" s="38">
        <v>15.75</v>
      </c>
    </row>
    <row r="344" spans="1:8" x14ac:dyDescent="0.2">
      <c r="A344" s="125">
        <v>224</v>
      </c>
      <c r="C344" s="58" t="s">
        <v>138</v>
      </c>
      <c r="D344" s="12">
        <f t="shared" ref="D344:D349" si="19">F344*$D$10</f>
        <v>11036.25</v>
      </c>
      <c r="E344" s="12"/>
      <c r="F344" s="39">
        <v>20.25</v>
      </c>
      <c r="G344" s="38">
        <v>15.75</v>
      </c>
    </row>
    <row r="345" spans="1:8" ht="10.5" x14ac:dyDescent="0.2">
      <c r="A345" s="125">
        <v>225</v>
      </c>
      <c r="C345" s="58" t="s">
        <v>139</v>
      </c>
      <c r="D345" s="12">
        <f t="shared" si="19"/>
        <v>10006.199999999999</v>
      </c>
      <c r="E345" s="12"/>
      <c r="F345" s="39">
        <v>18.36</v>
      </c>
      <c r="G345" s="38">
        <v>14.985000000000003</v>
      </c>
      <c r="H345" s="154"/>
    </row>
    <row r="346" spans="1:8" ht="10.5" x14ac:dyDescent="0.2">
      <c r="A346" s="124">
        <v>226</v>
      </c>
      <c r="C346" s="58" t="s">
        <v>140</v>
      </c>
      <c r="D346" s="12">
        <f t="shared" si="19"/>
        <v>10006.199999999999</v>
      </c>
      <c r="E346" s="12"/>
      <c r="F346" s="39">
        <v>18.36</v>
      </c>
      <c r="G346" s="38">
        <v>14.985000000000003</v>
      </c>
      <c r="H346" s="154"/>
    </row>
    <row r="347" spans="1:8" ht="10.5" x14ac:dyDescent="0.2">
      <c r="A347" s="124">
        <v>2608211840</v>
      </c>
      <c r="C347" s="58" t="s">
        <v>705</v>
      </c>
      <c r="D347" s="12">
        <f t="shared" si="19"/>
        <v>13368.85</v>
      </c>
      <c r="E347" s="12"/>
      <c r="F347" s="39">
        <v>24.53</v>
      </c>
      <c r="G347" s="38">
        <v>19.62</v>
      </c>
      <c r="H347" s="154"/>
    </row>
    <row r="348" spans="1:8" ht="10.5" x14ac:dyDescent="0.2">
      <c r="A348" s="124">
        <v>1651050623</v>
      </c>
      <c r="C348" s="150" t="s">
        <v>723</v>
      </c>
      <c r="D348" s="143">
        <f t="shared" si="19"/>
        <v>18366.5</v>
      </c>
      <c r="E348" s="143"/>
      <c r="F348" s="144">
        <v>33.700000000000003</v>
      </c>
      <c r="G348" s="145">
        <v>28.08</v>
      </c>
      <c r="H348" s="154"/>
    </row>
    <row r="349" spans="1:8" s="103" customFormat="1" ht="20" x14ac:dyDescent="0.2">
      <c r="A349" s="126">
        <v>2702181207</v>
      </c>
      <c r="C349" s="93" t="s">
        <v>462</v>
      </c>
      <c r="D349" s="105">
        <f t="shared" si="19"/>
        <v>13979.25</v>
      </c>
      <c r="E349" s="105"/>
      <c r="F349" s="106">
        <v>25.65</v>
      </c>
      <c r="G349" s="107">
        <v>22.01</v>
      </c>
      <c r="H349" s="154"/>
    </row>
    <row r="350" spans="1:8" ht="10.5" x14ac:dyDescent="0.2">
      <c r="A350" s="125">
        <v>228</v>
      </c>
      <c r="C350" s="85" t="s">
        <v>423</v>
      </c>
      <c r="D350" s="12">
        <f t="shared" ref="D350:D368" si="20">F350*$D$10</f>
        <v>15097.317500000001</v>
      </c>
      <c r="E350" s="12"/>
      <c r="F350" s="39">
        <v>27.701500000000003</v>
      </c>
      <c r="G350" s="38">
        <v>23.463000000000001</v>
      </c>
      <c r="H350" s="154"/>
    </row>
    <row r="351" spans="1:8" ht="10.5" x14ac:dyDescent="0.2">
      <c r="A351" s="125">
        <v>1818150620</v>
      </c>
      <c r="C351" s="85" t="s">
        <v>546</v>
      </c>
      <c r="D351" s="12">
        <f t="shared" si="20"/>
        <v>16698.8</v>
      </c>
      <c r="E351" s="12"/>
      <c r="F351" s="39">
        <v>30.64</v>
      </c>
      <c r="G351" s="38">
        <v>25.53</v>
      </c>
      <c r="H351" s="154"/>
    </row>
    <row r="352" spans="1:8" ht="10.5" x14ac:dyDescent="0.2">
      <c r="A352" s="125">
        <v>1650050423</v>
      </c>
      <c r="C352" s="139" t="s">
        <v>717</v>
      </c>
      <c r="D352" s="12">
        <f t="shared" si="20"/>
        <v>12985.476562499998</v>
      </c>
      <c r="E352" s="12"/>
      <c r="F352" s="140">
        <v>23.826562499999998</v>
      </c>
      <c r="G352" s="141">
        <v>19.855468749999996</v>
      </c>
      <c r="H352" s="154"/>
    </row>
    <row r="353" spans="1:8" ht="10.5" x14ac:dyDescent="0.2">
      <c r="A353" s="125">
        <v>1651050423</v>
      </c>
      <c r="C353" s="139" t="s">
        <v>706</v>
      </c>
      <c r="D353" s="12">
        <f t="shared" si="20"/>
        <v>14543.733749999998</v>
      </c>
      <c r="E353" s="12"/>
      <c r="F353" s="140">
        <v>26.685749999999995</v>
      </c>
      <c r="G353" s="141">
        <v>22.238125</v>
      </c>
      <c r="H353" s="154"/>
    </row>
    <row r="354" spans="1:8" ht="10.5" x14ac:dyDescent="0.2">
      <c r="A354" s="125">
        <v>1652050423</v>
      </c>
      <c r="C354" s="139" t="s">
        <v>707</v>
      </c>
      <c r="D354" s="12">
        <f t="shared" si="20"/>
        <v>32463.691406249996</v>
      </c>
      <c r="E354" s="12"/>
      <c r="F354" s="140">
        <v>59.566406249999993</v>
      </c>
      <c r="G354" s="141">
        <v>49.638671874999993</v>
      </c>
      <c r="H354" s="154"/>
    </row>
    <row r="355" spans="1:8" ht="10.5" x14ac:dyDescent="0.2">
      <c r="A355" s="125">
        <v>1653050423</v>
      </c>
      <c r="C355" s="139" t="s">
        <v>708</v>
      </c>
      <c r="D355" s="12">
        <f t="shared" si="20"/>
        <v>14413.878984375002</v>
      </c>
      <c r="E355" s="12"/>
      <c r="F355" s="140">
        <v>26.447484375000002</v>
      </c>
      <c r="G355" s="141">
        <v>22.039570312500004</v>
      </c>
      <c r="H355" s="154"/>
    </row>
    <row r="356" spans="1:8" ht="10.5" x14ac:dyDescent="0.2">
      <c r="A356" s="125">
        <v>1654050423</v>
      </c>
      <c r="C356" s="139" t="s">
        <v>709</v>
      </c>
      <c r="D356" s="12">
        <f t="shared" si="20"/>
        <v>45851.717742187488</v>
      </c>
      <c r="E356" s="12"/>
      <c r="F356" s="140">
        <v>84.131592187499976</v>
      </c>
      <c r="G356" s="141">
        <v>70.109660156249973</v>
      </c>
      <c r="H356" s="154"/>
    </row>
    <row r="357" spans="1:8" ht="20" x14ac:dyDescent="0.2">
      <c r="A357" s="125">
        <v>1655050423</v>
      </c>
      <c r="C357" s="139" t="s">
        <v>710</v>
      </c>
      <c r="D357" s="12">
        <f t="shared" si="20"/>
        <v>30905.434218749997</v>
      </c>
      <c r="E357" s="12"/>
      <c r="F357" s="140">
        <v>56.707218749999996</v>
      </c>
      <c r="G357" s="141">
        <v>47.256015624999996</v>
      </c>
      <c r="H357" s="154"/>
    </row>
    <row r="358" spans="1:8" ht="10.5" x14ac:dyDescent="0.2">
      <c r="A358" s="125">
        <v>1656050423</v>
      </c>
      <c r="C358" s="139" t="s">
        <v>711</v>
      </c>
      <c r="D358" s="12">
        <f t="shared" si="20"/>
        <v>17010.974296875</v>
      </c>
      <c r="E358" s="12"/>
      <c r="F358" s="140">
        <v>31.212796875000002</v>
      </c>
      <c r="G358" s="141">
        <v>26.010664062500002</v>
      </c>
      <c r="H358" s="154"/>
    </row>
    <row r="359" spans="1:8" ht="10.5" x14ac:dyDescent="0.2">
      <c r="A359" s="125">
        <v>1657050423</v>
      </c>
      <c r="C359" s="139" t="s">
        <v>712</v>
      </c>
      <c r="D359" s="12">
        <f t="shared" si="20"/>
        <v>6492.7382812499991</v>
      </c>
      <c r="E359" s="12"/>
      <c r="F359" s="140">
        <v>11.913281249999999</v>
      </c>
      <c r="G359" s="141">
        <v>9.9277343749999982</v>
      </c>
      <c r="H359" s="154"/>
    </row>
    <row r="360" spans="1:8" ht="20" x14ac:dyDescent="0.2">
      <c r="A360" s="125">
        <v>1658050423</v>
      </c>
      <c r="C360" s="139" t="s">
        <v>713</v>
      </c>
      <c r="D360" s="12">
        <f t="shared" si="20"/>
        <v>42202.798828125</v>
      </c>
      <c r="E360" s="12"/>
      <c r="F360" s="140">
        <v>77.436328125000003</v>
      </c>
      <c r="G360" s="141">
        <v>64.5302734375</v>
      </c>
      <c r="H360" s="154"/>
    </row>
    <row r="361" spans="1:8" ht="20" x14ac:dyDescent="0.2">
      <c r="A361" s="125">
        <v>1659050423</v>
      </c>
      <c r="C361" s="139" t="s">
        <v>714</v>
      </c>
      <c r="D361" s="12">
        <f t="shared" si="20"/>
        <v>77912.859375</v>
      </c>
      <c r="E361" s="12"/>
      <c r="F361" s="140">
        <v>142.95937499999999</v>
      </c>
      <c r="G361" s="141">
        <v>119.1328125</v>
      </c>
      <c r="H361" s="154"/>
    </row>
    <row r="362" spans="1:8" ht="20" x14ac:dyDescent="0.2">
      <c r="A362" s="125">
        <v>1700050423</v>
      </c>
      <c r="C362" s="139" t="s">
        <v>715</v>
      </c>
      <c r="D362" s="12">
        <f t="shared" si="20"/>
        <v>83107.049999999988</v>
      </c>
      <c r="E362" s="12"/>
      <c r="F362" s="140">
        <v>152.48999999999998</v>
      </c>
      <c r="G362" s="141">
        <v>127.075</v>
      </c>
      <c r="H362" s="154"/>
    </row>
    <row r="363" spans="1:8" s="103" customFormat="1" ht="20" x14ac:dyDescent="0.2">
      <c r="A363" s="126">
        <v>2702181205</v>
      </c>
      <c r="C363" s="108" t="s">
        <v>463</v>
      </c>
      <c r="D363" s="105">
        <f t="shared" si="20"/>
        <v>21974.400000000001</v>
      </c>
      <c r="E363" s="105"/>
      <c r="F363" s="106">
        <v>40.32</v>
      </c>
      <c r="G363" s="107">
        <v>33.6</v>
      </c>
      <c r="H363" s="154"/>
    </row>
    <row r="364" spans="1:8" ht="10.5" x14ac:dyDescent="0.2">
      <c r="A364" s="125">
        <v>227</v>
      </c>
      <c r="C364" s="58" t="s">
        <v>333</v>
      </c>
      <c r="D364" s="12">
        <f t="shared" si="20"/>
        <v>19908.850000000002</v>
      </c>
      <c r="E364" s="12"/>
      <c r="F364" s="39">
        <v>36.53</v>
      </c>
      <c r="G364" s="38">
        <v>31.36</v>
      </c>
      <c r="H364" s="154"/>
    </row>
    <row r="365" spans="1:8" ht="10.5" x14ac:dyDescent="0.2">
      <c r="A365" s="125"/>
      <c r="C365" s="58" t="s">
        <v>474</v>
      </c>
      <c r="D365" s="12">
        <f t="shared" si="20"/>
        <v>38493.35</v>
      </c>
      <c r="E365" s="12"/>
      <c r="F365" s="39">
        <v>70.63</v>
      </c>
      <c r="G365" s="38">
        <v>58.56</v>
      </c>
      <c r="H365" s="154"/>
    </row>
    <row r="366" spans="1:8" ht="10.5" x14ac:dyDescent="0.2">
      <c r="A366" s="125">
        <v>229</v>
      </c>
      <c r="C366" s="85" t="s">
        <v>448</v>
      </c>
      <c r="D366" s="12">
        <f t="shared" si="20"/>
        <v>18088.55</v>
      </c>
      <c r="E366" s="12"/>
      <c r="F366" s="39">
        <v>33.19</v>
      </c>
      <c r="G366" s="38">
        <v>26.29</v>
      </c>
      <c r="H366" s="154"/>
    </row>
    <row r="367" spans="1:8" ht="10.5" x14ac:dyDescent="0.2">
      <c r="A367" s="125">
        <v>1811240622</v>
      </c>
      <c r="C367" s="84" t="s">
        <v>595</v>
      </c>
      <c r="D367" s="12">
        <f>F367*$D$10</f>
        <v>18181.2</v>
      </c>
      <c r="E367" s="12"/>
      <c r="F367" s="39">
        <v>33.36</v>
      </c>
      <c r="G367" s="38">
        <v>28.63</v>
      </c>
      <c r="H367" s="154"/>
    </row>
    <row r="368" spans="1:8" hidden="1" x14ac:dyDescent="0.2">
      <c r="A368" s="124">
        <v>230</v>
      </c>
      <c r="C368" s="31" t="s">
        <v>350</v>
      </c>
      <c r="D368" s="12">
        <f t="shared" si="20"/>
        <v>18305.46</v>
      </c>
      <c r="E368" s="12"/>
      <c r="F368" s="39">
        <v>33.588000000000001</v>
      </c>
      <c r="G368" s="38">
        <v>27.990000000000002</v>
      </c>
    </row>
    <row r="369" spans="1:8" ht="10.5" x14ac:dyDescent="0.2">
      <c r="A369" s="125">
        <v>231</v>
      </c>
      <c r="C369" s="58" t="s">
        <v>141</v>
      </c>
      <c r="D369" s="12">
        <f t="shared" ref="D369:D388" si="21">F369*$D$10</f>
        <v>15759.764999999998</v>
      </c>
      <c r="E369" s="12"/>
      <c r="F369" s="39">
        <v>28.916999999999994</v>
      </c>
      <c r="G369" s="38">
        <v>23.287500000000001</v>
      </c>
      <c r="H369" s="154"/>
    </row>
    <row r="370" spans="1:8" ht="10.5" x14ac:dyDescent="0.2">
      <c r="A370" s="125">
        <v>232</v>
      </c>
      <c r="C370" s="58" t="s">
        <v>142</v>
      </c>
      <c r="D370" s="12">
        <f t="shared" si="21"/>
        <v>15759.764999999998</v>
      </c>
      <c r="E370" s="12"/>
      <c r="F370" s="39">
        <v>28.916999999999994</v>
      </c>
      <c r="G370" s="38">
        <v>23.287500000000001</v>
      </c>
      <c r="H370" s="154"/>
    </row>
    <row r="371" spans="1:8" ht="10.5" hidden="1" x14ac:dyDescent="0.2">
      <c r="A371" s="125">
        <v>233</v>
      </c>
      <c r="C371" s="58" t="s">
        <v>451</v>
      </c>
      <c r="D371" s="12">
        <f t="shared" si="21"/>
        <v>18797.05</v>
      </c>
      <c r="E371" s="12"/>
      <c r="F371" s="39">
        <v>34.49</v>
      </c>
      <c r="G371" s="38">
        <v>28</v>
      </c>
      <c r="H371" s="154"/>
    </row>
    <row r="372" spans="1:8" ht="10.5" hidden="1" x14ac:dyDescent="0.2">
      <c r="A372" s="124">
        <v>234</v>
      </c>
      <c r="C372" s="58" t="s">
        <v>450</v>
      </c>
      <c r="D372" s="12">
        <f t="shared" si="21"/>
        <v>19750.8</v>
      </c>
      <c r="E372" s="12"/>
      <c r="F372" s="39">
        <v>36.24</v>
      </c>
      <c r="G372" s="38">
        <v>29.42</v>
      </c>
      <c r="H372" s="154"/>
    </row>
    <row r="373" spans="1:8" ht="10.5" x14ac:dyDescent="0.2">
      <c r="A373" s="125">
        <v>235</v>
      </c>
      <c r="C373" s="58" t="s">
        <v>143</v>
      </c>
      <c r="D373" s="12">
        <f t="shared" si="21"/>
        <v>16468.537500000002</v>
      </c>
      <c r="E373" s="12"/>
      <c r="F373" s="39">
        <v>30.217500000000001</v>
      </c>
      <c r="G373" s="38">
        <v>24.3</v>
      </c>
      <c r="H373" s="154"/>
    </row>
    <row r="374" spans="1:8" ht="10.5" x14ac:dyDescent="0.2">
      <c r="A374" s="125">
        <v>236</v>
      </c>
      <c r="C374" s="58" t="s">
        <v>144</v>
      </c>
      <c r="D374" s="12">
        <f t="shared" si="21"/>
        <v>18011.16</v>
      </c>
      <c r="E374" s="12"/>
      <c r="F374" s="39">
        <v>33.048000000000002</v>
      </c>
      <c r="G374" s="38">
        <v>27.135000000000002</v>
      </c>
      <c r="H374" s="154"/>
    </row>
    <row r="375" spans="1:8" hidden="1" x14ac:dyDescent="0.2">
      <c r="A375" s="125">
        <v>237</v>
      </c>
      <c r="C375" s="58" t="s">
        <v>145</v>
      </c>
      <c r="D375" s="12">
        <f t="shared" si="21"/>
        <v>0</v>
      </c>
      <c r="E375" s="12"/>
      <c r="F375" s="39"/>
      <c r="G375" s="38"/>
    </row>
    <row r="376" spans="1:8" x14ac:dyDescent="0.2">
      <c r="A376" s="124">
        <v>238</v>
      </c>
      <c r="C376" s="85" t="s">
        <v>424</v>
      </c>
      <c r="D376" s="12">
        <f t="shared" si="21"/>
        <v>21712.800000000003</v>
      </c>
      <c r="E376" s="12"/>
      <c r="F376" s="39">
        <v>39.840000000000003</v>
      </c>
      <c r="G376" s="38">
        <v>31.87</v>
      </c>
    </row>
    <row r="377" spans="1:8" ht="10.5" x14ac:dyDescent="0.2">
      <c r="A377" s="124">
        <v>1100100723</v>
      </c>
      <c r="C377" s="85" t="s">
        <v>584</v>
      </c>
      <c r="D377" s="12">
        <f t="shared" si="21"/>
        <v>23413.200000000001</v>
      </c>
      <c r="E377" s="12"/>
      <c r="F377" s="39">
        <v>42.96</v>
      </c>
      <c r="G377" s="38">
        <v>37.35</v>
      </c>
      <c r="H377" s="154"/>
    </row>
    <row r="378" spans="1:8" ht="10.5" x14ac:dyDescent="0.2">
      <c r="A378" s="124">
        <v>1140100723</v>
      </c>
      <c r="C378" s="84" t="s">
        <v>726</v>
      </c>
      <c r="D378" s="12">
        <f>F378*$D$10</f>
        <v>40591.599999999999</v>
      </c>
      <c r="E378" s="12"/>
      <c r="F378" s="39">
        <v>74.48</v>
      </c>
      <c r="G378" s="38">
        <v>62.07</v>
      </c>
      <c r="H378" s="154"/>
    </row>
    <row r="379" spans="1:8" x14ac:dyDescent="0.2">
      <c r="A379" s="125">
        <v>239</v>
      </c>
      <c r="C379" s="58" t="s">
        <v>334</v>
      </c>
      <c r="D379" s="12">
        <f t="shared" si="21"/>
        <v>27526.859999999997</v>
      </c>
      <c r="E379" s="12"/>
      <c r="F379" s="39">
        <v>50.507999999999996</v>
      </c>
      <c r="G379" s="38">
        <v>42.056999999999995</v>
      </c>
    </row>
    <row r="380" spans="1:8" ht="10.5" x14ac:dyDescent="0.2">
      <c r="A380" s="125">
        <v>240</v>
      </c>
      <c r="C380" s="58" t="s">
        <v>146</v>
      </c>
      <c r="D380" s="12">
        <f t="shared" si="21"/>
        <v>20650.05</v>
      </c>
      <c r="E380" s="12"/>
      <c r="F380" s="39">
        <v>37.89</v>
      </c>
      <c r="G380" s="38">
        <v>30.31</v>
      </c>
      <c r="H380" s="154"/>
    </row>
    <row r="381" spans="1:8" ht="10.5" x14ac:dyDescent="0.2">
      <c r="A381" s="125">
        <v>241</v>
      </c>
      <c r="C381" s="58" t="s">
        <v>147</v>
      </c>
      <c r="D381" s="12">
        <f t="shared" si="21"/>
        <v>26891.662500000002</v>
      </c>
      <c r="E381" s="12"/>
      <c r="F381" s="39">
        <v>49.342500000000001</v>
      </c>
      <c r="G381" s="38">
        <v>41.715000000000003</v>
      </c>
      <c r="H381" s="154"/>
    </row>
    <row r="382" spans="1:8" x14ac:dyDescent="0.2">
      <c r="A382" s="124">
        <v>242</v>
      </c>
      <c r="C382" s="58" t="s">
        <v>148</v>
      </c>
      <c r="D382" s="12">
        <f t="shared" si="21"/>
        <v>32373</v>
      </c>
      <c r="E382" s="12"/>
      <c r="F382" s="39">
        <v>59.4</v>
      </c>
      <c r="G382" s="38">
        <v>47.25</v>
      </c>
    </row>
    <row r="383" spans="1:8" ht="10.5" x14ac:dyDescent="0.2">
      <c r="A383" s="125">
        <v>243</v>
      </c>
      <c r="C383" s="58" t="s">
        <v>149</v>
      </c>
      <c r="D383" s="12">
        <f t="shared" si="21"/>
        <v>38023.56</v>
      </c>
      <c r="E383" s="12"/>
      <c r="F383" s="39">
        <v>69.768000000000001</v>
      </c>
      <c r="G383" s="38">
        <v>56.902500000000003</v>
      </c>
      <c r="H383" s="154"/>
    </row>
    <row r="384" spans="1:8" hidden="1" x14ac:dyDescent="0.2">
      <c r="A384" s="125">
        <v>219</v>
      </c>
      <c r="C384" s="64" t="s">
        <v>136</v>
      </c>
      <c r="D384" s="12">
        <f t="shared" si="21"/>
        <v>38847.599999999999</v>
      </c>
      <c r="E384" s="12"/>
      <c r="F384" s="39">
        <v>71.28</v>
      </c>
      <c r="G384" s="38">
        <v>56.7</v>
      </c>
    </row>
    <row r="385" spans="1:8" hidden="1" x14ac:dyDescent="0.2">
      <c r="A385" s="125">
        <v>217</v>
      </c>
      <c r="C385" s="64" t="s">
        <v>134</v>
      </c>
      <c r="D385" s="12">
        <f t="shared" si="21"/>
        <v>43556.4</v>
      </c>
      <c r="E385" s="12"/>
      <c r="F385" s="39">
        <v>79.92</v>
      </c>
      <c r="G385" s="38">
        <v>64.125</v>
      </c>
    </row>
    <row r="386" spans="1:8" hidden="1" x14ac:dyDescent="0.2">
      <c r="A386" s="124">
        <v>218</v>
      </c>
      <c r="C386" s="30" t="s">
        <v>135</v>
      </c>
      <c r="D386" s="12">
        <f t="shared" si="21"/>
        <v>0</v>
      </c>
      <c r="E386" s="12"/>
      <c r="F386" s="39"/>
      <c r="G386" s="38"/>
    </row>
    <row r="387" spans="1:8" s="115" customFormat="1" ht="10.5" x14ac:dyDescent="0.2">
      <c r="A387" s="126">
        <v>1820150620</v>
      </c>
      <c r="C387" s="84" t="s">
        <v>547</v>
      </c>
      <c r="D387" s="105">
        <f t="shared" si="21"/>
        <v>46695.600000000006</v>
      </c>
      <c r="E387" s="105"/>
      <c r="F387" s="106">
        <v>85.68</v>
      </c>
      <c r="G387" s="107">
        <v>71.400000000000006</v>
      </c>
      <c r="H387" s="157"/>
    </row>
    <row r="388" spans="1:8" s="115" customFormat="1" ht="23.25" customHeight="1" x14ac:dyDescent="0.2">
      <c r="A388" s="126">
        <v>1817150520</v>
      </c>
      <c r="C388" s="117" t="s">
        <v>548</v>
      </c>
      <c r="D388" s="105">
        <f t="shared" si="21"/>
        <v>49611.35</v>
      </c>
      <c r="E388" s="105"/>
      <c r="F388" s="106">
        <v>91.03</v>
      </c>
      <c r="G388" s="107">
        <v>75.849999999999994</v>
      </c>
      <c r="H388" s="157"/>
    </row>
    <row r="389" spans="1:8" ht="14" x14ac:dyDescent="0.2">
      <c r="A389" s="125">
        <v>252</v>
      </c>
      <c r="C389" s="189" t="s">
        <v>545</v>
      </c>
      <c r="D389" s="190"/>
      <c r="E389" s="190"/>
      <c r="F389" s="190"/>
      <c r="G389" s="191"/>
    </row>
    <row r="390" spans="1:8" ht="10.5" x14ac:dyDescent="0.2">
      <c r="A390" s="125">
        <v>245</v>
      </c>
      <c r="C390" s="58" t="s">
        <v>151</v>
      </c>
      <c r="D390" s="12">
        <f t="shared" ref="D390:D399" si="22">F390*$D$10</f>
        <v>15287.25</v>
      </c>
      <c r="E390" s="12"/>
      <c r="F390" s="39">
        <v>28.05</v>
      </c>
      <c r="G390" s="38">
        <v>22.725000000000001</v>
      </c>
      <c r="H390" s="154"/>
    </row>
    <row r="391" spans="1:8" ht="10.5" x14ac:dyDescent="0.2">
      <c r="A391" s="124">
        <v>246</v>
      </c>
      <c r="C391" s="58" t="s">
        <v>152</v>
      </c>
      <c r="D391" s="12">
        <f t="shared" si="22"/>
        <v>16213.75</v>
      </c>
      <c r="E391" s="12"/>
      <c r="F391" s="39">
        <v>29.75</v>
      </c>
      <c r="G391" s="38">
        <v>25.2</v>
      </c>
      <c r="H391" s="154"/>
    </row>
    <row r="392" spans="1:8" ht="10.5" x14ac:dyDescent="0.2">
      <c r="A392" s="125">
        <v>247</v>
      </c>
      <c r="C392" s="58" t="s">
        <v>153</v>
      </c>
      <c r="D392" s="12">
        <f t="shared" si="22"/>
        <v>16213.75</v>
      </c>
      <c r="E392" s="12"/>
      <c r="F392" s="39">
        <v>29.75</v>
      </c>
      <c r="G392" s="38">
        <v>25.2</v>
      </c>
      <c r="H392" s="154"/>
    </row>
    <row r="393" spans="1:8" ht="10.5" x14ac:dyDescent="0.2">
      <c r="A393" s="125">
        <v>248</v>
      </c>
      <c r="C393" s="58" t="s">
        <v>154</v>
      </c>
      <c r="D393" s="12">
        <f t="shared" si="22"/>
        <v>16213.75</v>
      </c>
      <c r="E393" s="12"/>
      <c r="F393" s="39">
        <v>29.75</v>
      </c>
      <c r="G393" s="38">
        <v>25.2</v>
      </c>
      <c r="H393" s="154"/>
    </row>
    <row r="394" spans="1:8" ht="10.5" x14ac:dyDescent="0.2">
      <c r="A394" s="125">
        <v>1704180220</v>
      </c>
      <c r="C394" s="58" t="s">
        <v>747</v>
      </c>
      <c r="D394" s="12">
        <f t="shared" si="22"/>
        <v>15287.25</v>
      </c>
      <c r="E394" s="12"/>
      <c r="F394" s="39">
        <v>28.05</v>
      </c>
      <c r="G394" s="38">
        <v>22.725000000000001</v>
      </c>
      <c r="H394" s="154"/>
    </row>
    <row r="395" spans="1:8" ht="10.5" x14ac:dyDescent="0.2">
      <c r="A395" s="125">
        <v>1118170124</v>
      </c>
      <c r="C395" s="58" t="s">
        <v>746</v>
      </c>
      <c r="D395" s="12">
        <f>F395*$D$10</f>
        <v>20001.5</v>
      </c>
      <c r="E395" s="12"/>
      <c r="F395" s="39">
        <v>36.700000000000003</v>
      </c>
      <c r="G395" s="38">
        <v>30.58</v>
      </c>
      <c r="H395" s="154"/>
    </row>
    <row r="396" spans="1:8" ht="10.5" x14ac:dyDescent="0.2">
      <c r="A396" s="125">
        <v>244</v>
      </c>
      <c r="C396" s="58" t="s">
        <v>150</v>
      </c>
      <c r="D396" s="12">
        <f t="shared" si="22"/>
        <v>16202.85</v>
      </c>
      <c r="E396" s="12"/>
      <c r="F396" s="39">
        <v>29.73</v>
      </c>
      <c r="G396" s="38">
        <v>24.78</v>
      </c>
      <c r="H396" s="154"/>
    </row>
    <row r="397" spans="1:8" ht="10.5" x14ac:dyDescent="0.2">
      <c r="A397" s="125">
        <v>249</v>
      </c>
      <c r="C397" s="58" t="s">
        <v>155</v>
      </c>
      <c r="D397" s="12">
        <f t="shared" si="22"/>
        <v>20971.599999999999</v>
      </c>
      <c r="E397" s="12"/>
      <c r="F397" s="39">
        <v>38.479999999999997</v>
      </c>
      <c r="G397" s="38">
        <v>32.07</v>
      </c>
      <c r="H397" s="154"/>
    </row>
    <row r="398" spans="1:8" ht="10.5" x14ac:dyDescent="0.2">
      <c r="A398" s="124">
        <v>250</v>
      </c>
      <c r="C398" s="58" t="s">
        <v>156</v>
      </c>
      <c r="D398" s="12">
        <f t="shared" si="22"/>
        <v>23625.75</v>
      </c>
      <c r="E398" s="12"/>
      <c r="F398" s="39">
        <v>43.35</v>
      </c>
      <c r="G398" s="38">
        <v>36.9</v>
      </c>
      <c r="H398" s="154"/>
    </row>
    <row r="399" spans="1:8" x14ac:dyDescent="0.2">
      <c r="A399" s="125">
        <v>251</v>
      </c>
      <c r="C399" s="84" t="s">
        <v>422</v>
      </c>
      <c r="D399" s="12">
        <f t="shared" si="22"/>
        <v>110580.5</v>
      </c>
      <c r="E399" s="12"/>
      <c r="F399" s="39">
        <v>202.9</v>
      </c>
      <c r="G399" s="38">
        <v>124.53</v>
      </c>
    </row>
    <row r="400" spans="1:8" ht="14" x14ac:dyDescent="0.2">
      <c r="A400" s="125">
        <v>252</v>
      </c>
      <c r="C400" s="189" t="s">
        <v>509</v>
      </c>
      <c r="D400" s="190"/>
      <c r="E400" s="190"/>
      <c r="F400" s="190"/>
      <c r="G400" s="191"/>
    </row>
    <row r="401" spans="1:8" hidden="1" x14ac:dyDescent="0.2">
      <c r="A401" s="125">
        <v>253</v>
      </c>
      <c r="C401" s="60" t="s">
        <v>391</v>
      </c>
      <c r="D401" s="12">
        <f t="shared" ref="D401:D406" si="23">F401*$D$10</f>
        <v>4196.5</v>
      </c>
      <c r="E401" s="12">
        <f t="shared" ref="E401:E452" si="24">G401*$F$10</f>
        <v>3215.5</v>
      </c>
      <c r="F401" s="39">
        <v>7.7</v>
      </c>
      <c r="G401" s="38">
        <v>5.9</v>
      </c>
    </row>
    <row r="402" spans="1:8" hidden="1" x14ac:dyDescent="0.2">
      <c r="A402" s="124">
        <v>254</v>
      </c>
      <c r="C402" s="60" t="s">
        <v>392</v>
      </c>
      <c r="D402" s="12">
        <f t="shared" si="23"/>
        <v>4360</v>
      </c>
      <c r="E402" s="12">
        <f t="shared" si="24"/>
        <v>3270</v>
      </c>
      <c r="F402" s="39">
        <v>8</v>
      </c>
      <c r="G402" s="38">
        <v>6</v>
      </c>
    </row>
    <row r="403" spans="1:8" x14ac:dyDescent="0.2">
      <c r="A403" s="124">
        <v>290</v>
      </c>
      <c r="C403" s="7" t="s">
        <v>181</v>
      </c>
      <c r="D403" s="12">
        <f t="shared" si="23"/>
        <v>408.75</v>
      </c>
      <c r="E403" s="12"/>
      <c r="F403" s="39">
        <v>0.75</v>
      </c>
      <c r="G403" s="38">
        <v>0.5</v>
      </c>
    </row>
    <row r="404" spans="1:8" ht="10.5" x14ac:dyDescent="0.2">
      <c r="A404" s="124">
        <v>114908042022</v>
      </c>
      <c r="C404" s="7" t="s">
        <v>590</v>
      </c>
      <c r="D404" s="12">
        <f t="shared" si="23"/>
        <v>3270</v>
      </c>
      <c r="E404" s="12"/>
      <c r="F404" s="39">
        <v>6</v>
      </c>
      <c r="G404" s="38">
        <v>4</v>
      </c>
      <c r="H404" s="154"/>
    </row>
    <row r="405" spans="1:8" x14ac:dyDescent="0.2">
      <c r="A405" s="125">
        <v>255</v>
      </c>
      <c r="C405" s="87" t="s">
        <v>414</v>
      </c>
      <c r="D405" s="12">
        <f t="shared" si="23"/>
        <v>4414.5</v>
      </c>
      <c r="E405" s="12"/>
      <c r="F405" s="39">
        <v>8.1</v>
      </c>
      <c r="G405" s="38">
        <v>5.4</v>
      </c>
    </row>
    <row r="406" spans="1:8" x14ac:dyDescent="0.2">
      <c r="A406" s="125">
        <v>256</v>
      </c>
      <c r="C406" s="60" t="s">
        <v>157</v>
      </c>
      <c r="D406" s="12">
        <f t="shared" si="23"/>
        <v>4414.5</v>
      </c>
      <c r="E406" s="12"/>
      <c r="F406" s="39">
        <v>8.1</v>
      </c>
      <c r="G406" s="38">
        <v>5.4</v>
      </c>
    </row>
    <row r="407" spans="1:8" x14ac:dyDescent="0.2">
      <c r="A407" s="125">
        <v>257</v>
      </c>
      <c r="C407" s="60" t="s">
        <v>158</v>
      </c>
      <c r="D407" s="12">
        <f t="shared" ref="D407:D452" si="25">F407*$D$10</f>
        <v>4414.5</v>
      </c>
      <c r="E407" s="12"/>
      <c r="F407" s="39">
        <v>8.1</v>
      </c>
      <c r="G407" s="38">
        <v>5.4</v>
      </c>
    </row>
    <row r="408" spans="1:8" x14ac:dyDescent="0.2">
      <c r="A408" s="124">
        <v>258</v>
      </c>
      <c r="C408" s="60" t="s">
        <v>159</v>
      </c>
      <c r="D408" s="12">
        <f t="shared" si="25"/>
        <v>4414.5</v>
      </c>
      <c r="E408" s="12"/>
      <c r="F408" s="39">
        <v>8.1</v>
      </c>
      <c r="G408" s="38">
        <v>5.4</v>
      </c>
    </row>
    <row r="409" spans="1:8" x14ac:dyDescent="0.2">
      <c r="A409" s="125">
        <v>259</v>
      </c>
      <c r="C409" s="60" t="s">
        <v>160</v>
      </c>
      <c r="D409" s="12">
        <f t="shared" si="25"/>
        <v>4414.5</v>
      </c>
      <c r="E409" s="12"/>
      <c r="F409" s="39">
        <v>8.1</v>
      </c>
      <c r="G409" s="38">
        <v>5.4</v>
      </c>
    </row>
    <row r="410" spans="1:8" x14ac:dyDescent="0.2">
      <c r="A410" s="125">
        <v>1014100119</v>
      </c>
      <c r="C410" s="54" t="s">
        <v>484</v>
      </c>
      <c r="D410" s="12">
        <f t="shared" si="25"/>
        <v>4414.5</v>
      </c>
      <c r="E410" s="12"/>
      <c r="F410" s="39">
        <v>8.1</v>
      </c>
      <c r="G410" s="38">
        <v>5.4</v>
      </c>
    </row>
    <row r="411" spans="1:8" x14ac:dyDescent="0.2">
      <c r="A411" s="125">
        <v>260</v>
      </c>
      <c r="C411" s="60" t="s">
        <v>161</v>
      </c>
      <c r="D411" s="12">
        <f t="shared" si="25"/>
        <v>4414.5</v>
      </c>
      <c r="E411" s="12"/>
      <c r="F411" s="39">
        <v>8.1</v>
      </c>
      <c r="G411" s="38">
        <v>5.4</v>
      </c>
    </row>
    <row r="412" spans="1:8" x14ac:dyDescent="0.2">
      <c r="A412" s="125">
        <v>261</v>
      </c>
      <c r="C412" s="60" t="s">
        <v>162</v>
      </c>
      <c r="D412" s="12">
        <f t="shared" si="25"/>
        <v>4414.5</v>
      </c>
      <c r="E412" s="12"/>
      <c r="F412" s="39">
        <v>8.1</v>
      </c>
      <c r="G412" s="38">
        <v>5.4</v>
      </c>
    </row>
    <row r="413" spans="1:8" ht="10.5" x14ac:dyDescent="0.2">
      <c r="A413" s="125">
        <v>1735021122</v>
      </c>
      <c r="C413" s="54" t="s">
        <v>692</v>
      </c>
      <c r="D413" s="12">
        <f>F413*$D$10</f>
        <v>4414.5</v>
      </c>
      <c r="E413" s="12"/>
      <c r="F413" s="39">
        <v>8.1</v>
      </c>
      <c r="G413" s="38">
        <v>5.4</v>
      </c>
      <c r="H413" s="154"/>
    </row>
    <row r="414" spans="1:8" x14ac:dyDescent="0.2">
      <c r="A414" s="124">
        <v>262</v>
      </c>
      <c r="C414" s="54" t="s">
        <v>163</v>
      </c>
      <c r="D414" s="12">
        <f t="shared" si="25"/>
        <v>4414.5</v>
      </c>
      <c r="E414" s="12"/>
      <c r="F414" s="39">
        <v>8.1</v>
      </c>
      <c r="G414" s="38">
        <v>5.4</v>
      </c>
    </row>
    <row r="415" spans="1:8" x14ac:dyDescent="0.2">
      <c r="A415" s="125">
        <v>263</v>
      </c>
      <c r="C415" s="54" t="s">
        <v>393</v>
      </c>
      <c r="D415" s="12">
        <f t="shared" si="25"/>
        <v>4414.5</v>
      </c>
      <c r="E415" s="12"/>
      <c r="F415" s="39">
        <v>8.1</v>
      </c>
      <c r="G415" s="38">
        <v>5.4</v>
      </c>
    </row>
    <row r="416" spans="1:8" x14ac:dyDescent="0.2">
      <c r="A416" s="125">
        <v>264</v>
      </c>
      <c r="C416" s="54" t="s">
        <v>395</v>
      </c>
      <c r="D416" s="12">
        <f t="shared" si="25"/>
        <v>4414.5</v>
      </c>
      <c r="E416" s="12"/>
      <c r="F416" s="39">
        <v>8.1</v>
      </c>
      <c r="G416" s="38">
        <v>5.4</v>
      </c>
    </row>
    <row r="417" spans="1:8" x14ac:dyDescent="0.2">
      <c r="A417" s="125">
        <v>265</v>
      </c>
      <c r="C417" s="54" t="s">
        <v>394</v>
      </c>
      <c r="D417" s="12">
        <f t="shared" si="25"/>
        <v>4414.5</v>
      </c>
      <c r="E417" s="12"/>
      <c r="F417" s="39">
        <v>8.1</v>
      </c>
      <c r="G417" s="38">
        <v>5.4</v>
      </c>
    </row>
    <row r="418" spans="1:8" x14ac:dyDescent="0.2">
      <c r="A418" s="124">
        <v>266</v>
      </c>
      <c r="C418" s="33" t="s">
        <v>164</v>
      </c>
      <c r="D418" s="12">
        <f t="shared" si="25"/>
        <v>4414.5</v>
      </c>
      <c r="E418" s="12"/>
      <c r="F418" s="39">
        <v>8.1</v>
      </c>
      <c r="G418" s="38">
        <v>5.4</v>
      </c>
    </row>
    <row r="419" spans="1:8" x14ac:dyDescent="0.2">
      <c r="A419" s="125">
        <v>267</v>
      </c>
      <c r="C419" s="54" t="s">
        <v>165</v>
      </c>
      <c r="D419" s="12">
        <f t="shared" si="25"/>
        <v>4414.5</v>
      </c>
      <c r="E419" s="12"/>
      <c r="F419" s="39">
        <v>8.1</v>
      </c>
      <c r="G419" s="38">
        <v>5.4</v>
      </c>
    </row>
    <row r="420" spans="1:8" x14ac:dyDescent="0.2">
      <c r="A420" s="125">
        <v>268</v>
      </c>
      <c r="C420" s="10" t="s">
        <v>412</v>
      </c>
      <c r="D420" s="12">
        <f>F420*$D$10</f>
        <v>4414.5</v>
      </c>
      <c r="E420" s="12"/>
      <c r="F420" s="39">
        <v>8.1</v>
      </c>
      <c r="G420" s="38">
        <v>5.4</v>
      </c>
    </row>
    <row r="421" spans="1:8" ht="10.5" x14ac:dyDescent="0.2">
      <c r="A421" s="125">
        <v>1502021222</v>
      </c>
      <c r="C421" s="86" t="s">
        <v>701</v>
      </c>
      <c r="D421" s="158">
        <f>F421*$D$10</f>
        <v>4414.5</v>
      </c>
      <c r="E421" s="158"/>
      <c r="F421" s="158">
        <v>8.1</v>
      </c>
      <c r="G421" s="159">
        <v>6.42</v>
      </c>
      <c r="H421" s="154"/>
    </row>
    <row r="422" spans="1:8" x14ac:dyDescent="0.2">
      <c r="A422" s="125">
        <v>269</v>
      </c>
      <c r="C422" s="54" t="s">
        <v>166</v>
      </c>
      <c r="D422" s="12">
        <f t="shared" si="25"/>
        <v>4905</v>
      </c>
      <c r="E422" s="12"/>
      <c r="F422" s="39">
        <v>9</v>
      </c>
      <c r="G422" s="38">
        <v>6.75</v>
      </c>
    </row>
    <row r="423" spans="1:8" ht="10.5" x14ac:dyDescent="0.2">
      <c r="A423" s="125">
        <v>1448110923</v>
      </c>
      <c r="C423" s="54" t="s">
        <v>737</v>
      </c>
      <c r="D423" s="12">
        <f>F423*$D$10</f>
        <v>4905</v>
      </c>
      <c r="E423" s="12"/>
      <c r="F423" s="39">
        <v>9</v>
      </c>
      <c r="G423" s="38">
        <v>6.75</v>
      </c>
      <c r="H423" s="154"/>
    </row>
    <row r="424" spans="1:8" ht="10.5" x14ac:dyDescent="0.2">
      <c r="A424" s="125">
        <v>1250040920</v>
      </c>
      <c r="C424" s="133" t="s">
        <v>554</v>
      </c>
      <c r="D424" s="12">
        <f t="shared" si="25"/>
        <v>4905</v>
      </c>
      <c r="E424" s="12"/>
      <c r="F424" s="39">
        <v>9</v>
      </c>
      <c r="G424" s="38">
        <v>6.75</v>
      </c>
      <c r="H424" s="154"/>
    </row>
    <row r="425" spans="1:8" ht="10.5" x14ac:dyDescent="0.2">
      <c r="A425" s="125">
        <v>1251040920</v>
      </c>
      <c r="C425" s="133" t="s">
        <v>555</v>
      </c>
      <c r="D425" s="12">
        <f t="shared" si="25"/>
        <v>5722.5</v>
      </c>
      <c r="E425" s="12"/>
      <c r="F425" s="39">
        <v>10.5</v>
      </c>
      <c r="G425" s="38">
        <v>7.6</v>
      </c>
      <c r="H425" s="154"/>
    </row>
    <row r="426" spans="1:8" x14ac:dyDescent="0.2">
      <c r="A426" s="124">
        <v>270</v>
      </c>
      <c r="C426" s="54" t="s">
        <v>167</v>
      </c>
      <c r="D426" s="12">
        <f t="shared" si="25"/>
        <v>5886</v>
      </c>
      <c r="E426" s="12"/>
      <c r="F426" s="39">
        <v>10.8</v>
      </c>
      <c r="G426" s="38">
        <v>7.65</v>
      </c>
    </row>
    <row r="427" spans="1:8" x14ac:dyDescent="0.2">
      <c r="A427" s="125">
        <v>271</v>
      </c>
      <c r="C427" s="54" t="s">
        <v>168</v>
      </c>
      <c r="D427" s="12">
        <f t="shared" si="25"/>
        <v>7848</v>
      </c>
      <c r="E427" s="12"/>
      <c r="F427" s="39">
        <v>14.4</v>
      </c>
      <c r="G427" s="38">
        <v>11.25</v>
      </c>
    </row>
    <row r="428" spans="1:8" hidden="1" x14ac:dyDescent="0.2">
      <c r="A428" s="125">
        <v>272</v>
      </c>
      <c r="C428" s="28" t="s">
        <v>169</v>
      </c>
      <c r="D428" s="12">
        <f t="shared" si="25"/>
        <v>9711.9</v>
      </c>
      <c r="E428" s="12"/>
      <c r="F428" s="39">
        <v>17.82</v>
      </c>
      <c r="G428" s="38">
        <v>13.5</v>
      </c>
    </row>
    <row r="429" spans="1:8" x14ac:dyDescent="0.2">
      <c r="A429" s="125">
        <v>273</v>
      </c>
      <c r="C429" s="7" t="s">
        <v>354</v>
      </c>
      <c r="D429" s="12">
        <f t="shared" si="25"/>
        <v>2120.0500000000002</v>
      </c>
      <c r="E429" s="12"/>
      <c r="F429" s="39">
        <v>3.89</v>
      </c>
      <c r="G429" s="38">
        <v>2.99</v>
      </c>
    </row>
    <row r="430" spans="1:8" x14ac:dyDescent="0.2">
      <c r="A430" s="124">
        <v>274</v>
      </c>
      <c r="C430" s="7" t="s">
        <v>356</v>
      </c>
      <c r="D430" s="12">
        <f t="shared" si="25"/>
        <v>1923.85</v>
      </c>
      <c r="E430" s="12"/>
      <c r="F430" s="39">
        <v>3.53</v>
      </c>
      <c r="G430" s="38">
        <v>2.72</v>
      </c>
    </row>
    <row r="431" spans="1:8" x14ac:dyDescent="0.2">
      <c r="A431" s="125">
        <v>275</v>
      </c>
      <c r="C431" s="7" t="s">
        <v>355</v>
      </c>
      <c r="D431" s="12">
        <f t="shared" si="25"/>
        <v>2501.5499999999997</v>
      </c>
      <c r="E431" s="12"/>
      <c r="F431" s="39">
        <v>4.59</v>
      </c>
      <c r="G431" s="38">
        <v>3.53</v>
      </c>
    </row>
    <row r="432" spans="1:8" x14ac:dyDescent="0.2">
      <c r="A432" s="125">
        <v>276</v>
      </c>
      <c r="C432" s="7" t="s">
        <v>170</v>
      </c>
      <c r="D432" s="12">
        <f t="shared" si="25"/>
        <v>6812.5</v>
      </c>
      <c r="E432" s="12"/>
      <c r="F432" s="39">
        <v>12.5</v>
      </c>
      <c r="G432" s="38">
        <v>10</v>
      </c>
    </row>
    <row r="433" spans="1:8" x14ac:dyDescent="0.2">
      <c r="A433" s="125">
        <v>277</v>
      </c>
      <c r="C433" s="100" t="s">
        <v>171</v>
      </c>
      <c r="D433" s="12">
        <f t="shared" si="25"/>
        <v>6213</v>
      </c>
      <c r="E433" s="12"/>
      <c r="F433" s="39">
        <v>11.4</v>
      </c>
      <c r="G433" s="38">
        <v>8.5</v>
      </c>
    </row>
    <row r="434" spans="1:8" ht="10.5" x14ac:dyDescent="0.2">
      <c r="A434" s="124">
        <v>1200250722</v>
      </c>
      <c r="C434" s="85" t="s">
        <v>686</v>
      </c>
      <c r="D434" s="12">
        <f>F434*$D$10</f>
        <v>3376.2749999999996</v>
      </c>
      <c r="E434" s="12"/>
      <c r="F434" s="39">
        <v>6.1949999999999994</v>
      </c>
      <c r="G434" s="38">
        <v>5.1624999999999996</v>
      </c>
      <c r="H434" s="154"/>
    </row>
    <row r="435" spans="1:8" ht="10.5" x14ac:dyDescent="0.2">
      <c r="A435" s="124">
        <v>1201250722</v>
      </c>
      <c r="C435" s="85" t="s">
        <v>687</v>
      </c>
      <c r="D435" s="12">
        <f>F435*$D$10</f>
        <v>3554.9374999999995</v>
      </c>
      <c r="E435" s="12"/>
      <c r="F435" s="39">
        <v>6.5228211009174304</v>
      </c>
      <c r="G435" s="38">
        <v>5.4356842507645258</v>
      </c>
      <c r="H435" s="154"/>
    </row>
    <row r="436" spans="1:8" ht="10.5" x14ac:dyDescent="0.2">
      <c r="A436" s="124">
        <v>1202250722</v>
      </c>
      <c r="C436" s="85" t="s">
        <v>688</v>
      </c>
      <c r="D436" s="12">
        <f t="shared" si="25"/>
        <v>3732.6843749999998</v>
      </c>
      <c r="E436" s="12"/>
      <c r="F436" s="39">
        <v>6.848962155963302</v>
      </c>
      <c r="G436" s="38">
        <v>5.7074684633027513</v>
      </c>
      <c r="H436" s="154"/>
    </row>
    <row r="437" spans="1:8" ht="10.5" x14ac:dyDescent="0.2">
      <c r="A437" s="124">
        <v>1203250722</v>
      </c>
      <c r="C437" s="85" t="s">
        <v>690</v>
      </c>
      <c r="D437" s="12">
        <f>F437*$D$10</f>
        <v>4088.1781249999985</v>
      </c>
      <c r="E437" s="12"/>
      <c r="F437" s="39">
        <v>7.5012442660550436</v>
      </c>
      <c r="G437" s="38">
        <v>6.2510368883792031</v>
      </c>
      <c r="H437" s="154"/>
    </row>
    <row r="438" spans="1:8" ht="10.5" x14ac:dyDescent="0.2">
      <c r="A438" s="124">
        <v>1204250722</v>
      </c>
      <c r="C438" s="85" t="s">
        <v>689</v>
      </c>
      <c r="D438" s="12">
        <f>F438*$D$10</f>
        <v>4443.6718749999991</v>
      </c>
      <c r="E438" s="12"/>
      <c r="F438" s="39">
        <v>8.1535263761467878</v>
      </c>
      <c r="G438" s="38">
        <v>6.7946053134556568</v>
      </c>
      <c r="H438" s="154"/>
    </row>
    <row r="439" spans="1:8" ht="10.5" x14ac:dyDescent="0.2">
      <c r="A439" s="124">
        <v>278</v>
      </c>
      <c r="C439" s="54" t="s">
        <v>172</v>
      </c>
      <c r="D439" s="12">
        <f t="shared" si="25"/>
        <v>4806.9000000000005</v>
      </c>
      <c r="E439" s="12"/>
      <c r="F439" s="39">
        <v>8.82</v>
      </c>
      <c r="G439" s="38">
        <v>7.35</v>
      </c>
      <c r="H439" s="154"/>
    </row>
    <row r="440" spans="1:8" x14ac:dyDescent="0.2">
      <c r="A440" s="125">
        <v>279</v>
      </c>
      <c r="C440" s="54" t="s">
        <v>173</v>
      </c>
      <c r="D440" s="12">
        <f t="shared" si="25"/>
        <v>7521</v>
      </c>
      <c r="E440" s="12"/>
      <c r="F440" s="39">
        <v>13.8</v>
      </c>
      <c r="G440" s="38">
        <v>10.75</v>
      </c>
    </row>
    <row r="441" spans="1:8" x14ac:dyDescent="0.2">
      <c r="A441" s="125">
        <v>280</v>
      </c>
      <c r="C441" s="54" t="s">
        <v>174</v>
      </c>
      <c r="D441" s="12">
        <f t="shared" si="25"/>
        <v>5995</v>
      </c>
      <c r="E441" s="12"/>
      <c r="F441" s="39">
        <v>11</v>
      </c>
      <c r="G441" s="38">
        <v>9</v>
      </c>
    </row>
    <row r="442" spans="1:8" x14ac:dyDescent="0.2">
      <c r="A442" s="125">
        <v>281</v>
      </c>
      <c r="C442" s="54" t="s">
        <v>175</v>
      </c>
      <c r="D442" s="12">
        <f t="shared" si="25"/>
        <v>4905</v>
      </c>
      <c r="E442" s="12"/>
      <c r="F442" s="39">
        <v>9</v>
      </c>
      <c r="G442" s="38">
        <v>7.25</v>
      </c>
    </row>
    <row r="443" spans="1:8" ht="10.5" x14ac:dyDescent="0.2">
      <c r="A443" s="124">
        <v>282</v>
      </c>
      <c r="C443" s="151" t="s">
        <v>176</v>
      </c>
      <c r="D443" s="143">
        <f t="shared" si="25"/>
        <v>5907.8</v>
      </c>
      <c r="E443" s="143"/>
      <c r="F443" s="144">
        <v>10.84</v>
      </c>
      <c r="G443" s="145">
        <v>9.0299999999999994</v>
      </c>
      <c r="H443" s="154"/>
    </row>
    <row r="444" spans="1:8" x14ac:dyDescent="0.2">
      <c r="A444" s="125">
        <v>283</v>
      </c>
      <c r="C444" s="70" t="s">
        <v>439</v>
      </c>
      <c r="D444" s="12">
        <f t="shared" si="25"/>
        <v>6540</v>
      </c>
      <c r="E444" s="12"/>
      <c r="F444" s="39">
        <v>12</v>
      </c>
      <c r="G444" s="38">
        <v>9</v>
      </c>
    </row>
    <row r="445" spans="1:8" x14ac:dyDescent="0.2">
      <c r="A445" s="125">
        <v>284</v>
      </c>
      <c r="C445" s="100" t="s">
        <v>177</v>
      </c>
      <c r="D445" s="12">
        <f t="shared" si="25"/>
        <v>11772</v>
      </c>
      <c r="E445" s="12"/>
      <c r="F445" s="39">
        <v>21.6</v>
      </c>
      <c r="G445" s="38">
        <v>17.5</v>
      </c>
    </row>
    <row r="446" spans="1:8" x14ac:dyDescent="0.2">
      <c r="A446" s="125">
        <v>285</v>
      </c>
      <c r="C446" s="100" t="s">
        <v>353</v>
      </c>
      <c r="D446" s="12">
        <f t="shared" si="25"/>
        <v>11772</v>
      </c>
      <c r="E446" s="12"/>
      <c r="F446" s="39">
        <v>21.6</v>
      </c>
      <c r="G446" s="38">
        <v>17.5</v>
      </c>
    </row>
    <row r="447" spans="1:8" x14ac:dyDescent="0.2">
      <c r="A447" s="124">
        <v>286</v>
      </c>
      <c r="C447" s="100" t="s">
        <v>178</v>
      </c>
      <c r="D447" s="12">
        <f t="shared" si="25"/>
        <v>9810</v>
      </c>
      <c r="E447" s="12"/>
      <c r="F447" s="39">
        <v>18</v>
      </c>
      <c r="G447" s="38">
        <v>15</v>
      </c>
    </row>
    <row r="448" spans="1:8" x14ac:dyDescent="0.2">
      <c r="A448" s="125">
        <v>287</v>
      </c>
      <c r="C448" s="70" t="s">
        <v>440</v>
      </c>
      <c r="D448" s="12">
        <f t="shared" si="25"/>
        <v>9810</v>
      </c>
      <c r="E448" s="12"/>
      <c r="F448" s="39">
        <v>18</v>
      </c>
      <c r="G448" s="38">
        <v>15</v>
      </c>
    </row>
    <row r="449" spans="1:8" x14ac:dyDescent="0.2">
      <c r="A449" s="125">
        <v>288</v>
      </c>
      <c r="C449" s="54" t="s">
        <v>179</v>
      </c>
      <c r="D449" s="12">
        <f>F449*$D$10</f>
        <v>9810</v>
      </c>
      <c r="E449" s="12"/>
      <c r="F449" s="39">
        <v>18</v>
      </c>
      <c r="G449" s="38">
        <v>15</v>
      </c>
    </row>
    <row r="450" spans="1:8" x14ac:dyDescent="0.2">
      <c r="A450" s="125">
        <v>289</v>
      </c>
      <c r="C450" s="10" t="s">
        <v>180</v>
      </c>
      <c r="D450" s="12">
        <f>F450*$D$10</f>
        <v>2180</v>
      </c>
      <c r="E450" s="12"/>
      <c r="F450" s="39">
        <v>4</v>
      </c>
      <c r="G450" s="38">
        <v>3</v>
      </c>
    </row>
    <row r="451" spans="1:8" ht="10.5" x14ac:dyDescent="0.2">
      <c r="A451" s="125">
        <v>1216251120</v>
      </c>
      <c r="C451" s="54" t="s">
        <v>569</v>
      </c>
      <c r="D451" s="12">
        <f>F451*$D$10</f>
        <v>14851.25</v>
      </c>
      <c r="E451" s="12"/>
      <c r="F451" s="39">
        <v>27.25</v>
      </c>
      <c r="G451" s="38">
        <v>22.71</v>
      </c>
      <c r="H451" s="154"/>
    </row>
    <row r="452" spans="1:8" ht="10.5" x14ac:dyDescent="0.2">
      <c r="A452" s="125">
        <v>1217251120</v>
      </c>
      <c r="C452" s="54" t="s">
        <v>570</v>
      </c>
      <c r="D452" s="12">
        <f t="shared" si="25"/>
        <v>14851.25</v>
      </c>
      <c r="E452" s="12"/>
      <c r="F452" s="39">
        <v>27.25</v>
      </c>
      <c r="G452" s="38">
        <v>22.71</v>
      </c>
      <c r="H452" s="154"/>
    </row>
    <row r="453" spans="1:8" ht="14" x14ac:dyDescent="0.2">
      <c r="A453" s="125">
        <v>291</v>
      </c>
      <c r="C453" s="197" t="s">
        <v>510</v>
      </c>
      <c r="D453" s="201"/>
      <c r="E453" s="201"/>
      <c r="F453" s="201"/>
      <c r="G453" s="202"/>
    </row>
    <row r="454" spans="1:8" ht="10.5" x14ac:dyDescent="0.2">
      <c r="A454" s="125">
        <v>292</v>
      </c>
      <c r="C454" s="56" t="s">
        <v>337</v>
      </c>
      <c r="D454" s="12">
        <f t="shared" ref="D454:D462" si="26">F454*$D$10</f>
        <v>3580.65</v>
      </c>
      <c r="E454" s="12"/>
      <c r="F454" s="39">
        <v>6.57</v>
      </c>
      <c r="G454" s="38">
        <v>5.58</v>
      </c>
      <c r="H454" s="154"/>
    </row>
    <row r="455" spans="1:8" ht="10.5" x14ac:dyDescent="0.2">
      <c r="A455" s="125">
        <v>293</v>
      </c>
      <c r="C455" s="56" t="s">
        <v>338</v>
      </c>
      <c r="D455" s="12">
        <f t="shared" si="26"/>
        <v>3580.65</v>
      </c>
      <c r="E455" s="12"/>
      <c r="F455" s="39">
        <v>6.57</v>
      </c>
      <c r="G455" s="38">
        <v>5.58</v>
      </c>
      <c r="H455" s="154"/>
    </row>
    <row r="456" spans="1:8" x14ac:dyDescent="0.2">
      <c r="A456" s="124">
        <v>294</v>
      </c>
      <c r="C456" s="54" t="s">
        <v>346</v>
      </c>
      <c r="D456" s="12">
        <f t="shared" si="26"/>
        <v>3924</v>
      </c>
      <c r="E456" s="12"/>
      <c r="F456" s="39">
        <v>7.2</v>
      </c>
      <c r="G456" s="38">
        <v>5.25</v>
      </c>
    </row>
    <row r="457" spans="1:8" x14ac:dyDescent="0.2">
      <c r="A457" s="125">
        <v>295</v>
      </c>
      <c r="C457" s="54" t="s">
        <v>347</v>
      </c>
      <c r="D457" s="12">
        <f t="shared" si="26"/>
        <v>4414.5</v>
      </c>
      <c r="E457" s="12"/>
      <c r="F457" s="39">
        <v>8.1</v>
      </c>
      <c r="G457" s="38">
        <v>6</v>
      </c>
    </row>
    <row r="458" spans="1:8" ht="10.5" x14ac:dyDescent="0.2">
      <c r="A458" s="125">
        <v>1807181248</v>
      </c>
      <c r="C458" s="85" t="s">
        <v>467</v>
      </c>
      <c r="D458" s="12">
        <f t="shared" si="26"/>
        <v>5215.6500000000005</v>
      </c>
      <c r="E458" s="12"/>
      <c r="F458" s="39">
        <v>9.57</v>
      </c>
      <c r="G458" s="38">
        <v>7.88</v>
      </c>
      <c r="H458" s="154"/>
    </row>
    <row r="459" spans="1:8" ht="10.5" x14ac:dyDescent="0.2">
      <c r="A459" s="125">
        <v>1807181249</v>
      </c>
      <c r="C459" s="85" t="s">
        <v>468</v>
      </c>
      <c r="D459" s="12">
        <f t="shared" si="26"/>
        <v>6997.8</v>
      </c>
      <c r="E459" s="12"/>
      <c r="F459" s="39">
        <v>12.84</v>
      </c>
      <c r="G459" s="38">
        <v>10.58</v>
      </c>
      <c r="H459" s="154"/>
    </row>
    <row r="460" spans="1:8" ht="10.5" x14ac:dyDescent="0.2">
      <c r="A460" s="125">
        <v>1147251120</v>
      </c>
      <c r="C460" s="84" t="s">
        <v>568</v>
      </c>
      <c r="D460" s="12">
        <f>F460*$D$10</f>
        <v>8398.4500000000007</v>
      </c>
      <c r="E460" s="12"/>
      <c r="F460" s="39">
        <v>15.41</v>
      </c>
      <c r="G460" s="38">
        <v>12.84</v>
      </c>
      <c r="H460" s="154"/>
    </row>
    <row r="461" spans="1:8" ht="10.5" x14ac:dyDescent="0.2">
      <c r="A461" s="125">
        <v>297</v>
      </c>
      <c r="C461" s="54" t="s">
        <v>388</v>
      </c>
      <c r="D461" s="12">
        <f>F461*$D$10</f>
        <v>10033.450000000001</v>
      </c>
      <c r="E461" s="12"/>
      <c r="F461" s="39">
        <v>18.41</v>
      </c>
      <c r="G461" s="38">
        <v>15.34</v>
      </c>
      <c r="H461" s="154"/>
    </row>
    <row r="462" spans="1:8" x14ac:dyDescent="0.2">
      <c r="A462" s="125">
        <v>296</v>
      </c>
      <c r="C462" s="58" t="s">
        <v>345</v>
      </c>
      <c r="D462" s="12">
        <f t="shared" si="26"/>
        <v>17331</v>
      </c>
      <c r="E462" s="12"/>
      <c r="F462" s="39">
        <v>31.8</v>
      </c>
      <c r="G462" s="38">
        <v>24.5</v>
      </c>
    </row>
    <row r="463" spans="1:8" ht="14" x14ac:dyDescent="0.2">
      <c r="A463" s="124">
        <v>298</v>
      </c>
      <c r="C463" s="32" t="s">
        <v>511</v>
      </c>
      <c r="D463" s="203"/>
      <c r="E463" s="203"/>
      <c r="F463" s="203"/>
      <c r="G463" s="204"/>
    </row>
    <row r="464" spans="1:8" ht="14" x14ac:dyDescent="0.2">
      <c r="A464" s="125">
        <v>299</v>
      </c>
      <c r="C464" s="197" t="s">
        <v>512</v>
      </c>
      <c r="D464" s="201"/>
      <c r="E464" s="201"/>
      <c r="F464" s="201"/>
      <c r="G464" s="202"/>
    </row>
    <row r="465" spans="1:8" ht="10.5" hidden="1" x14ac:dyDescent="0.2">
      <c r="A465" s="125">
        <v>300</v>
      </c>
      <c r="C465" s="54" t="s">
        <v>336</v>
      </c>
      <c r="D465" s="12">
        <f>F465*$D$10</f>
        <v>47137.049999999996</v>
      </c>
      <c r="E465" s="12">
        <f t="shared" ref="E465:E503" si="27">G465*$F$10</f>
        <v>39894</v>
      </c>
      <c r="F465" s="39">
        <v>86.49</v>
      </c>
      <c r="G465" s="38">
        <v>73.2</v>
      </c>
      <c r="H465" s="154"/>
    </row>
    <row r="466" spans="1:8" ht="12.65" hidden="1" customHeight="1" x14ac:dyDescent="0.2">
      <c r="A466" s="125">
        <v>301</v>
      </c>
      <c r="C466" s="54" t="s">
        <v>335</v>
      </c>
      <c r="D466" s="12">
        <f>F466*$D$10</f>
        <v>47137.049999999996</v>
      </c>
      <c r="E466" s="12">
        <f t="shared" si="27"/>
        <v>39894</v>
      </c>
      <c r="F466" s="39">
        <v>86.49</v>
      </c>
      <c r="G466" s="38">
        <v>73.2</v>
      </c>
      <c r="H466" s="154"/>
    </row>
    <row r="467" spans="1:8" ht="10.5" x14ac:dyDescent="0.2">
      <c r="A467" s="124">
        <v>302</v>
      </c>
      <c r="C467" s="54" t="s">
        <v>182</v>
      </c>
      <c r="D467" s="12">
        <f>F467*$D$10</f>
        <v>60619.259999999995</v>
      </c>
      <c r="E467" s="12"/>
      <c r="F467" s="39">
        <v>111.22799999999999</v>
      </c>
      <c r="G467" s="38">
        <v>92.69</v>
      </c>
      <c r="H467" s="154"/>
    </row>
    <row r="468" spans="1:8" ht="10.5" hidden="1" x14ac:dyDescent="0.2">
      <c r="A468" s="125">
        <v>303</v>
      </c>
      <c r="C468" s="54" t="s">
        <v>183</v>
      </c>
      <c r="D468" s="12">
        <f t="shared" ref="D468:D500" si="28">F468*$D$10</f>
        <v>63647.28</v>
      </c>
      <c r="E468" s="12"/>
      <c r="F468" s="39">
        <v>116.78399999999999</v>
      </c>
      <c r="G468" s="38">
        <v>97.32</v>
      </c>
      <c r="H468" s="154"/>
    </row>
    <row r="469" spans="1:8" ht="10.5" x14ac:dyDescent="0.2">
      <c r="A469" s="125">
        <v>304</v>
      </c>
      <c r="C469" s="54" t="s">
        <v>184</v>
      </c>
      <c r="D469" s="12">
        <f>F469*$D$10</f>
        <v>68696.160000000003</v>
      </c>
      <c r="E469" s="12"/>
      <c r="F469" s="39">
        <v>126.048</v>
      </c>
      <c r="G469" s="38">
        <v>105.04</v>
      </c>
      <c r="H469" s="154"/>
    </row>
    <row r="470" spans="1:8" ht="10.5" hidden="1" x14ac:dyDescent="0.2">
      <c r="A470" s="125">
        <v>305</v>
      </c>
      <c r="C470" s="54" t="s">
        <v>366</v>
      </c>
      <c r="D470" s="12">
        <f t="shared" si="28"/>
        <v>63647.28</v>
      </c>
      <c r="E470" s="12"/>
      <c r="F470" s="39">
        <v>116.78399999999999</v>
      </c>
      <c r="G470" s="38">
        <v>97.32</v>
      </c>
      <c r="H470" s="154"/>
    </row>
    <row r="471" spans="1:8" ht="10.5" hidden="1" x14ac:dyDescent="0.2">
      <c r="A471" s="124">
        <v>306</v>
      </c>
      <c r="C471" s="54" t="s">
        <v>185</v>
      </c>
      <c r="D471" s="12">
        <f t="shared" si="28"/>
        <v>72378.180000000008</v>
      </c>
      <c r="E471" s="12"/>
      <c r="F471" s="39">
        <v>132.804</v>
      </c>
      <c r="G471" s="38">
        <v>110.67</v>
      </c>
      <c r="H471" s="154"/>
    </row>
    <row r="472" spans="1:8" ht="10.5" x14ac:dyDescent="0.2">
      <c r="A472" s="125">
        <v>307</v>
      </c>
      <c r="C472" s="54" t="s">
        <v>348</v>
      </c>
      <c r="D472" s="12">
        <f t="shared" si="28"/>
        <v>78846.240000000005</v>
      </c>
      <c r="E472" s="12"/>
      <c r="F472" s="39">
        <v>144.672</v>
      </c>
      <c r="G472" s="38">
        <v>120.56</v>
      </c>
      <c r="H472" s="154"/>
    </row>
    <row r="473" spans="1:8" ht="10.5" x14ac:dyDescent="0.2">
      <c r="A473" s="125">
        <v>308</v>
      </c>
      <c r="C473" s="54" t="s">
        <v>349</v>
      </c>
      <c r="D473" s="12">
        <f t="shared" si="28"/>
        <v>85608.6</v>
      </c>
      <c r="E473" s="12"/>
      <c r="F473" s="39">
        <v>157.08000000000001</v>
      </c>
      <c r="G473" s="38">
        <v>130.9</v>
      </c>
      <c r="H473" s="154"/>
    </row>
    <row r="474" spans="1:8" ht="10.5" hidden="1" x14ac:dyDescent="0.2">
      <c r="A474" s="125">
        <v>309</v>
      </c>
      <c r="C474" s="54" t="s">
        <v>186</v>
      </c>
      <c r="D474" s="12">
        <f t="shared" si="28"/>
        <v>101029.91999999998</v>
      </c>
      <c r="E474" s="12"/>
      <c r="F474" s="39">
        <v>185.37599999999998</v>
      </c>
      <c r="G474" s="38">
        <v>154.47999999999999</v>
      </c>
      <c r="H474" s="154"/>
    </row>
    <row r="475" spans="1:8" ht="10.5" hidden="1" x14ac:dyDescent="0.2">
      <c r="A475" s="124">
        <v>310</v>
      </c>
      <c r="C475" s="54" t="s">
        <v>187</v>
      </c>
      <c r="D475" s="12">
        <f t="shared" si="28"/>
        <v>119211.12</v>
      </c>
      <c r="E475" s="12"/>
      <c r="F475" s="39">
        <v>218.73599999999999</v>
      </c>
      <c r="G475" s="38">
        <v>182.28</v>
      </c>
      <c r="H475" s="154"/>
    </row>
    <row r="476" spans="1:8" ht="10.5" x14ac:dyDescent="0.2">
      <c r="A476" s="125">
        <v>311</v>
      </c>
      <c r="C476" s="54" t="s">
        <v>188</v>
      </c>
      <c r="D476" s="12">
        <f t="shared" si="28"/>
        <v>111134.22</v>
      </c>
      <c r="E476" s="12"/>
      <c r="F476" s="39">
        <v>203.916</v>
      </c>
      <c r="G476" s="38">
        <v>169.93</v>
      </c>
      <c r="H476" s="154"/>
    </row>
    <row r="477" spans="1:8" ht="10.5" hidden="1" x14ac:dyDescent="0.2">
      <c r="A477" s="125">
        <v>312</v>
      </c>
      <c r="C477" s="94" t="s">
        <v>430</v>
      </c>
      <c r="D477" s="95">
        <f>F477*$D$10</f>
        <v>116686.68</v>
      </c>
      <c r="E477" s="12"/>
      <c r="F477" s="104">
        <v>214.10399999999998</v>
      </c>
      <c r="G477" s="96">
        <v>178.42</v>
      </c>
      <c r="H477" s="154"/>
    </row>
    <row r="478" spans="1:8" ht="10.5" hidden="1" x14ac:dyDescent="0.2">
      <c r="A478" s="125">
        <v>313</v>
      </c>
      <c r="C478" s="54" t="s">
        <v>189</v>
      </c>
      <c r="D478" s="12">
        <f t="shared" si="28"/>
        <v>116686.68</v>
      </c>
      <c r="E478" s="12"/>
      <c r="F478" s="39">
        <v>214.10399999999998</v>
      </c>
      <c r="G478" s="38">
        <v>178.42</v>
      </c>
      <c r="H478" s="154"/>
    </row>
    <row r="479" spans="1:8" ht="10.5" x14ac:dyDescent="0.2">
      <c r="A479" s="124">
        <v>314</v>
      </c>
      <c r="C479" s="54" t="s">
        <v>190</v>
      </c>
      <c r="D479" s="12">
        <f t="shared" si="28"/>
        <v>136385.16</v>
      </c>
      <c r="E479" s="12"/>
      <c r="F479" s="39">
        <v>250.24799999999999</v>
      </c>
      <c r="G479" s="38">
        <v>208.54</v>
      </c>
      <c r="H479" s="154"/>
    </row>
    <row r="480" spans="1:8" ht="10.5" x14ac:dyDescent="0.2">
      <c r="A480" s="125">
        <v>315</v>
      </c>
      <c r="C480" s="54" t="s">
        <v>191</v>
      </c>
      <c r="D480" s="12">
        <f t="shared" si="28"/>
        <v>126287.39999999998</v>
      </c>
      <c r="E480" s="12"/>
      <c r="F480" s="39">
        <v>231.71999999999997</v>
      </c>
      <c r="G480" s="38">
        <v>193.1</v>
      </c>
      <c r="H480" s="154"/>
    </row>
    <row r="481" spans="1:8" ht="10.5" x14ac:dyDescent="0.2">
      <c r="A481" s="125">
        <v>316</v>
      </c>
      <c r="C481" s="54" t="s">
        <v>192</v>
      </c>
      <c r="D481" s="12">
        <f t="shared" si="28"/>
        <v>162976.79999999999</v>
      </c>
      <c r="E481" s="12"/>
      <c r="F481" s="39">
        <v>299.03999999999996</v>
      </c>
      <c r="G481" s="38">
        <v>249.2</v>
      </c>
      <c r="H481" s="154"/>
    </row>
    <row r="482" spans="1:8" ht="10.5" x14ac:dyDescent="0.2">
      <c r="A482" s="125">
        <v>317</v>
      </c>
      <c r="C482" s="54" t="s">
        <v>193</v>
      </c>
      <c r="D482" s="12">
        <f t="shared" si="28"/>
        <v>162976.79999999999</v>
      </c>
      <c r="E482" s="12"/>
      <c r="F482" s="39">
        <v>299.03999999999996</v>
      </c>
      <c r="G482" s="38">
        <v>249.2</v>
      </c>
      <c r="H482" s="154"/>
    </row>
    <row r="483" spans="1:8" ht="10.5" x14ac:dyDescent="0.2">
      <c r="A483" s="124">
        <v>318</v>
      </c>
      <c r="C483" s="54" t="s">
        <v>194</v>
      </c>
      <c r="D483" s="12">
        <f t="shared" si="28"/>
        <v>161642.63999999998</v>
      </c>
      <c r="E483" s="12"/>
      <c r="F483" s="39">
        <v>296.59199999999998</v>
      </c>
      <c r="G483" s="38">
        <v>247.16</v>
      </c>
      <c r="H483" s="154"/>
    </row>
    <row r="484" spans="1:8" ht="10.5" hidden="1" x14ac:dyDescent="0.2">
      <c r="A484" s="125">
        <v>319</v>
      </c>
      <c r="C484" s="54" t="s">
        <v>195</v>
      </c>
      <c r="D484" s="12">
        <f t="shared" si="28"/>
        <v>181851.24</v>
      </c>
      <c r="E484" s="12"/>
      <c r="F484" s="39">
        <v>333.67199999999997</v>
      </c>
      <c r="G484" s="38">
        <v>291.95999999999998</v>
      </c>
      <c r="H484" s="154"/>
    </row>
    <row r="485" spans="1:8" ht="10.5" x14ac:dyDescent="0.2">
      <c r="A485" s="125">
        <v>320</v>
      </c>
      <c r="C485" s="54" t="s">
        <v>196</v>
      </c>
      <c r="D485" s="12">
        <f t="shared" si="28"/>
        <v>230535</v>
      </c>
      <c r="E485" s="12"/>
      <c r="F485" s="39">
        <v>423</v>
      </c>
      <c r="G485" s="38">
        <v>352.5</v>
      </c>
      <c r="H485" s="154"/>
    </row>
    <row r="486" spans="1:8" hidden="1" x14ac:dyDescent="0.2">
      <c r="A486" s="125">
        <v>321</v>
      </c>
      <c r="C486" s="54" t="s">
        <v>421</v>
      </c>
      <c r="D486" s="12">
        <f t="shared" si="28"/>
        <v>253719.30000000002</v>
      </c>
      <c r="E486" s="12"/>
      <c r="F486" s="39">
        <v>465.54</v>
      </c>
      <c r="G486" s="38">
        <v>387.95</v>
      </c>
    </row>
    <row r="487" spans="1:8" hidden="1" x14ac:dyDescent="0.2">
      <c r="A487" s="124">
        <v>322</v>
      </c>
      <c r="C487" s="54" t="s">
        <v>420</v>
      </c>
      <c r="D487" s="12">
        <f t="shared" si="28"/>
        <v>253719.30000000002</v>
      </c>
      <c r="E487" s="12"/>
      <c r="F487" s="39">
        <v>465.54</v>
      </c>
      <c r="G487" s="38">
        <v>387.95</v>
      </c>
    </row>
    <row r="488" spans="1:8" ht="10.5" x14ac:dyDescent="0.2">
      <c r="A488" s="125">
        <v>323</v>
      </c>
      <c r="C488" s="54" t="s">
        <v>197</v>
      </c>
      <c r="D488" s="12">
        <f t="shared" si="28"/>
        <v>249288.45</v>
      </c>
      <c r="E488" s="12"/>
      <c r="F488" s="39">
        <v>457.41</v>
      </c>
      <c r="G488" s="38">
        <v>381.17</v>
      </c>
      <c r="H488" s="154"/>
    </row>
    <row r="489" spans="1:8" ht="10.5" x14ac:dyDescent="0.2">
      <c r="A489" s="125">
        <v>324</v>
      </c>
      <c r="C489" s="54" t="s">
        <v>198</v>
      </c>
      <c r="D489" s="12">
        <f>F489*$D$10</f>
        <v>202059.83999999997</v>
      </c>
      <c r="E489" s="12"/>
      <c r="F489" s="39">
        <v>370.75199999999995</v>
      </c>
      <c r="G489" s="38">
        <v>308.95999999999998</v>
      </c>
      <c r="H489" s="154"/>
    </row>
    <row r="490" spans="1:8" ht="10.5" x14ac:dyDescent="0.2">
      <c r="A490" s="125">
        <v>325</v>
      </c>
      <c r="C490" s="54" t="s">
        <v>199</v>
      </c>
      <c r="D490" s="12">
        <f>F490*$D$10</f>
        <v>222261.9</v>
      </c>
      <c r="E490" s="12"/>
      <c r="F490" s="39">
        <v>407.82</v>
      </c>
      <c r="G490" s="38">
        <v>339.85</v>
      </c>
      <c r="H490" s="154"/>
    </row>
    <row r="491" spans="1:8" ht="10.5" hidden="1" x14ac:dyDescent="0.2">
      <c r="A491" s="124">
        <v>326</v>
      </c>
      <c r="C491" s="85" t="s">
        <v>408</v>
      </c>
      <c r="D491" s="12">
        <f>F491*$D$10</f>
        <v>261736.25</v>
      </c>
      <c r="E491" s="12"/>
      <c r="F491" s="39">
        <v>480.25</v>
      </c>
      <c r="G491" s="38">
        <v>400.21</v>
      </c>
      <c r="H491" s="154"/>
    </row>
    <row r="492" spans="1:8" ht="10.5" hidden="1" x14ac:dyDescent="0.2">
      <c r="A492" s="125">
        <v>327</v>
      </c>
      <c r="C492" s="84" t="s">
        <v>404</v>
      </c>
      <c r="D492" s="12">
        <f>F492*$D$10</f>
        <v>269775</v>
      </c>
      <c r="E492" s="12"/>
      <c r="F492" s="39">
        <v>495</v>
      </c>
      <c r="G492" s="38">
        <v>412.5</v>
      </c>
      <c r="H492" s="154"/>
    </row>
    <row r="493" spans="1:8" ht="10.5" hidden="1" x14ac:dyDescent="0.2">
      <c r="A493" s="125">
        <v>328</v>
      </c>
      <c r="C493" s="54" t="s">
        <v>405</v>
      </c>
      <c r="D493" s="12">
        <f t="shared" si="28"/>
        <v>269775</v>
      </c>
      <c r="E493" s="12"/>
      <c r="F493" s="39">
        <v>495</v>
      </c>
      <c r="G493" s="38">
        <v>412.5</v>
      </c>
      <c r="H493" s="154"/>
    </row>
    <row r="494" spans="1:8" ht="10.5" x14ac:dyDescent="0.2">
      <c r="A494" s="125">
        <v>329</v>
      </c>
      <c r="C494" s="54" t="s">
        <v>200</v>
      </c>
      <c r="D494" s="12">
        <f t="shared" si="28"/>
        <v>247925.95</v>
      </c>
      <c r="E494" s="12"/>
      <c r="F494" s="39">
        <v>454.91</v>
      </c>
      <c r="G494" s="38">
        <v>379.1</v>
      </c>
      <c r="H494" s="154"/>
    </row>
    <row r="495" spans="1:8" ht="10.5" x14ac:dyDescent="0.2">
      <c r="A495" s="124">
        <v>330</v>
      </c>
      <c r="C495" s="54" t="s">
        <v>201</v>
      </c>
      <c r="D495" s="12">
        <f t="shared" si="28"/>
        <v>353598.18</v>
      </c>
      <c r="E495" s="12"/>
      <c r="F495" s="39">
        <v>648.80399999999997</v>
      </c>
      <c r="G495" s="38">
        <v>540.66999999999996</v>
      </c>
      <c r="H495" s="154"/>
    </row>
    <row r="496" spans="1:8" ht="10.5" hidden="1" x14ac:dyDescent="0.2">
      <c r="A496" s="125">
        <v>331</v>
      </c>
      <c r="C496" s="54" t="s">
        <v>202</v>
      </c>
      <c r="D496" s="12">
        <f t="shared" si="28"/>
        <v>383898</v>
      </c>
      <c r="E496" s="12"/>
      <c r="F496" s="39">
        <v>704.4</v>
      </c>
      <c r="G496" s="38">
        <v>587</v>
      </c>
      <c r="H496" s="154"/>
    </row>
    <row r="497" spans="1:8" ht="10.5" x14ac:dyDescent="0.2">
      <c r="A497" s="125">
        <v>332</v>
      </c>
      <c r="C497" s="54" t="s">
        <v>203</v>
      </c>
      <c r="D497" s="12">
        <f t="shared" si="28"/>
        <v>383898</v>
      </c>
      <c r="E497" s="12"/>
      <c r="F497" s="39">
        <v>704.4</v>
      </c>
      <c r="G497" s="38">
        <v>587</v>
      </c>
      <c r="H497" s="154"/>
    </row>
    <row r="498" spans="1:8" ht="10.5" hidden="1" x14ac:dyDescent="0.2">
      <c r="A498" s="125">
        <v>333</v>
      </c>
      <c r="C498" s="54" t="s">
        <v>204</v>
      </c>
      <c r="D498" s="12">
        <f>F498*$D$10</f>
        <v>413982</v>
      </c>
      <c r="E498" s="12">
        <f t="shared" si="27"/>
        <v>344985</v>
      </c>
      <c r="F498" s="39">
        <v>759.6</v>
      </c>
      <c r="G498" s="38">
        <v>633</v>
      </c>
      <c r="H498" s="154"/>
    </row>
    <row r="499" spans="1:8" ht="11.5" hidden="1" customHeight="1" x14ac:dyDescent="0.2">
      <c r="A499" s="124">
        <v>334</v>
      </c>
      <c r="C499" s="54" t="s">
        <v>358</v>
      </c>
      <c r="D499" s="12">
        <f>F499*$D$10</f>
        <v>511428</v>
      </c>
      <c r="E499" s="12">
        <f t="shared" si="27"/>
        <v>465157.5</v>
      </c>
      <c r="F499" s="39">
        <v>938.4</v>
      </c>
      <c r="G499" s="38">
        <v>853.5</v>
      </c>
    </row>
    <row r="500" spans="1:8" ht="10.5" hidden="1" x14ac:dyDescent="0.2">
      <c r="A500" s="125">
        <v>335</v>
      </c>
      <c r="C500" s="54" t="s">
        <v>357</v>
      </c>
      <c r="D500" s="12">
        <f t="shared" si="28"/>
        <v>500086.55</v>
      </c>
      <c r="E500" s="12">
        <f t="shared" si="27"/>
        <v>416739.7</v>
      </c>
      <c r="F500" s="39">
        <v>917.59</v>
      </c>
      <c r="G500" s="38">
        <v>764.66</v>
      </c>
      <c r="H500" s="154"/>
    </row>
    <row r="501" spans="1:8" ht="11.5" hidden="1" customHeight="1" x14ac:dyDescent="0.2">
      <c r="A501" s="125">
        <v>336</v>
      </c>
      <c r="C501" s="84" t="s">
        <v>418</v>
      </c>
      <c r="D501" s="12">
        <f>F501*$D$10</f>
        <v>655635</v>
      </c>
      <c r="E501" s="12">
        <f t="shared" si="27"/>
        <v>596230</v>
      </c>
      <c r="F501" s="39">
        <v>1203</v>
      </c>
      <c r="G501" s="38">
        <v>1094</v>
      </c>
      <c r="H501" s="154"/>
    </row>
    <row r="502" spans="1:8" ht="14" x14ac:dyDescent="0.2">
      <c r="A502" s="125">
        <v>337</v>
      </c>
      <c r="C502" s="197" t="s">
        <v>571</v>
      </c>
      <c r="D502" s="201"/>
      <c r="E502" s="201"/>
      <c r="F502" s="201"/>
      <c r="G502" s="202"/>
    </row>
    <row r="503" spans="1:8" ht="11.5" hidden="1" customHeight="1" x14ac:dyDescent="0.2">
      <c r="A503" s="124">
        <v>1559220618</v>
      </c>
      <c r="C503" s="85" t="s">
        <v>637</v>
      </c>
      <c r="D503" s="12">
        <f t="shared" ref="D503:D510" si="29">F503*$D$10</f>
        <v>24988.25</v>
      </c>
      <c r="E503" s="12">
        <f t="shared" si="27"/>
        <v>20824.45</v>
      </c>
      <c r="F503" s="39">
        <v>45.85</v>
      </c>
      <c r="G503" s="38">
        <v>38.21</v>
      </c>
      <c r="H503" s="154"/>
    </row>
    <row r="504" spans="1:8" ht="11.5" customHeight="1" x14ac:dyDescent="0.2">
      <c r="A504" s="124">
        <v>1559220618</v>
      </c>
      <c r="C504" s="85" t="s">
        <v>466</v>
      </c>
      <c r="D504" s="12">
        <f t="shared" si="29"/>
        <v>32667.3</v>
      </c>
      <c r="E504" s="12"/>
      <c r="F504" s="39">
        <v>59.94</v>
      </c>
      <c r="G504" s="38">
        <v>49.95</v>
      </c>
      <c r="H504" s="154"/>
    </row>
    <row r="505" spans="1:8" ht="11.5" hidden="1" customHeight="1" x14ac:dyDescent="0.2">
      <c r="A505" s="124">
        <v>338</v>
      </c>
      <c r="C505" s="151" t="s">
        <v>368</v>
      </c>
      <c r="D505" s="143">
        <f t="shared" si="29"/>
        <v>38002.85</v>
      </c>
      <c r="E505" s="143"/>
      <c r="F505" s="144">
        <v>69.73</v>
      </c>
      <c r="G505" s="145">
        <v>58.13</v>
      </c>
    </row>
    <row r="506" spans="1:8" ht="10.5" x14ac:dyDescent="0.2">
      <c r="A506" s="125">
        <v>1709021220</v>
      </c>
      <c r="C506" s="85" t="s">
        <v>638</v>
      </c>
      <c r="D506" s="12">
        <f t="shared" si="29"/>
        <v>25582.3</v>
      </c>
      <c r="E506" s="12"/>
      <c r="F506" s="39">
        <v>46.94</v>
      </c>
      <c r="G506" s="38">
        <v>39.119999999999997</v>
      </c>
      <c r="H506" s="154"/>
    </row>
    <row r="507" spans="1:8" ht="10.5" x14ac:dyDescent="0.2">
      <c r="A507" s="125">
        <v>918070623</v>
      </c>
      <c r="C507" s="85" t="s">
        <v>724</v>
      </c>
      <c r="D507" s="12">
        <f t="shared" si="29"/>
        <v>43948.800000000003</v>
      </c>
      <c r="E507" s="12"/>
      <c r="F507" s="39">
        <v>80.64</v>
      </c>
      <c r="G507" s="38">
        <v>67.2</v>
      </c>
      <c r="H507" s="154"/>
    </row>
    <row r="508" spans="1:8" ht="10.5" x14ac:dyDescent="0.2">
      <c r="A508" s="125">
        <v>931070723</v>
      </c>
      <c r="C508" s="84" t="s">
        <v>725</v>
      </c>
      <c r="D508" s="12">
        <f t="shared" si="29"/>
        <v>39098.299999999996</v>
      </c>
      <c r="E508" s="12"/>
      <c r="F508" s="39">
        <v>71.739999999999995</v>
      </c>
      <c r="G508" s="38">
        <v>58.74</v>
      </c>
      <c r="H508" s="154"/>
    </row>
    <row r="509" spans="1:8" ht="10.5" hidden="1" x14ac:dyDescent="0.2">
      <c r="A509" s="125">
        <v>339</v>
      </c>
      <c r="C509" s="54" t="s">
        <v>639</v>
      </c>
      <c r="D509" s="12">
        <f t="shared" si="29"/>
        <v>57388.5</v>
      </c>
      <c r="E509" s="12"/>
      <c r="F509" s="39">
        <v>105.3</v>
      </c>
      <c r="G509" s="38">
        <v>89</v>
      </c>
      <c r="H509" s="154"/>
    </row>
    <row r="510" spans="1:8" ht="11.5" customHeight="1" x14ac:dyDescent="0.2">
      <c r="A510" s="124">
        <v>1010200720</v>
      </c>
      <c r="C510" s="84" t="s">
        <v>640</v>
      </c>
      <c r="D510" s="12">
        <f t="shared" si="29"/>
        <v>66604.45</v>
      </c>
      <c r="E510" s="12"/>
      <c r="F510" s="39">
        <v>122.21</v>
      </c>
      <c r="G510" s="38">
        <v>101.84</v>
      </c>
      <c r="H510" s="154"/>
    </row>
    <row r="511" spans="1:8" ht="14" x14ac:dyDescent="0.2">
      <c r="A511" s="125">
        <v>340</v>
      </c>
      <c r="C511" s="197" t="s">
        <v>513</v>
      </c>
      <c r="D511" s="201"/>
      <c r="E511" s="201"/>
      <c r="F511" s="201"/>
      <c r="G511" s="202"/>
    </row>
    <row r="512" spans="1:8" ht="11.5" hidden="1" customHeight="1" x14ac:dyDescent="0.2">
      <c r="A512" s="125">
        <v>341</v>
      </c>
      <c r="C512" s="54" t="s">
        <v>407</v>
      </c>
      <c r="D512" s="12">
        <f t="shared" ref="D512:D518" si="30">F512*$D$10</f>
        <v>110362.5</v>
      </c>
      <c r="E512" s="12">
        <f t="shared" ref="E512:E518" si="31">G512*$F$10</f>
        <v>91968.75</v>
      </c>
      <c r="F512" s="39">
        <v>202.5</v>
      </c>
      <c r="G512" s="38">
        <v>168.75</v>
      </c>
      <c r="H512" s="154"/>
    </row>
    <row r="513" spans="1:8" ht="11.5" customHeight="1" x14ac:dyDescent="0.2">
      <c r="A513" s="125">
        <v>120120221739</v>
      </c>
      <c r="C513" s="54" t="s">
        <v>791</v>
      </c>
      <c r="D513" s="12">
        <f t="shared" si="30"/>
        <v>125023</v>
      </c>
      <c r="E513" s="12"/>
      <c r="F513" s="39">
        <v>229.4</v>
      </c>
      <c r="G513" s="38">
        <v>191.16</v>
      </c>
      <c r="H513" s="154"/>
    </row>
    <row r="514" spans="1:8" ht="11.5" customHeight="1" x14ac:dyDescent="0.2">
      <c r="A514" s="125">
        <v>120120221740</v>
      </c>
      <c r="C514" s="54" t="s">
        <v>792</v>
      </c>
      <c r="D514" s="12">
        <f t="shared" si="30"/>
        <v>176356.55</v>
      </c>
      <c r="E514" s="12"/>
      <c r="F514" s="39">
        <v>323.58999999999997</v>
      </c>
      <c r="G514" s="38">
        <v>269.66000000000003</v>
      </c>
      <c r="H514" s="154"/>
    </row>
    <row r="515" spans="1:8" ht="11.5" customHeight="1" x14ac:dyDescent="0.2">
      <c r="A515" s="125">
        <v>828230925</v>
      </c>
      <c r="C515" s="54" t="s">
        <v>789</v>
      </c>
      <c r="D515" s="12">
        <f t="shared" si="30"/>
        <v>19543.7</v>
      </c>
      <c r="E515" s="12"/>
      <c r="F515" s="39">
        <v>35.86</v>
      </c>
      <c r="G515" s="38">
        <v>29.89</v>
      </c>
      <c r="H515" s="154"/>
    </row>
    <row r="516" spans="1:8" ht="11.5" customHeight="1" x14ac:dyDescent="0.2">
      <c r="A516" s="125">
        <v>829230925</v>
      </c>
      <c r="C516" s="54" t="s">
        <v>790</v>
      </c>
      <c r="D516" s="12">
        <f t="shared" si="30"/>
        <v>19543.7</v>
      </c>
      <c r="E516" s="12"/>
      <c r="F516" s="39">
        <v>35.86</v>
      </c>
      <c r="G516" s="38">
        <v>29.89</v>
      </c>
      <c r="H516" s="154"/>
    </row>
    <row r="517" spans="1:8" ht="11.5" customHeight="1" x14ac:dyDescent="0.2">
      <c r="A517" s="125">
        <v>830230925</v>
      </c>
      <c r="C517" s="54" t="s">
        <v>787</v>
      </c>
      <c r="D517" s="12">
        <f t="shared" si="30"/>
        <v>11728.4</v>
      </c>
      <c r="E517" s="12"/>
      <c r="F517" s="39">
        <v>21.52</v>
      </c>
      <c r="G517" s="38">
        <v>17.93</v>
      </c>
      <c r="H517" s="154"/>
    </row>
    <row r="518" spans="1:8" ht="11.5" customHeight="1" x14ac:dyDescent="0.2">
      <c r="A518" s="125">
        <v>831230925</v>
      </c>
      <c r="C518" s="54" t="s">
        <v>788</v>
      </c>
      <c r="D518" s="12">
        <f t="shared" si="30"/>
        <v>19543.7</v>
      </c>
      <c r="E518" s="12"/>
      <c r="F518" s="39">
        <v>35.86</v>
      </c>
      <c r="G518" s="38">
        <v>29.89</v>
      </c>
      <c r="H518" s="154"/>
    </row>
    <row r="519" spans="1:8" ht="14" x14ac:dyDescent="0.2">
      <c r="A519" s="124">
        <v>342</v>
      </c>
      <c r="C519" s="197" t="s">
        <v>514</v>
      </c>
      <c r="D519" s="201"/>
      <c r="E519" s="201"/>
      <c r="F519" s="201"/>
      <c r="G519" s="202"/>
    </row>
    <row r="520" spans="1:8" ht="11.5" customHeight="1" x14ac:dyDescent="0.2">
      <c r="A520" s="125">
        <v>1701181743</v>
      </c>
      <c r="C520" s="85" t="s">
        <v>641</v>
      </c>
      <c r="D520" s="12">
        <f t="shared" ref="D520:D525" si="32">F520*$D$10</f>
        <v>19036.849999999999</v>
      </c>
      <c r="E520" s="12"/>
      <c r="F520" s="137">
        <v>34.93</v>
      </c>
      <c r="G520" s="138">
        <v>27.94</v>
      </c>
      <c r="H520" s="157"/>
    </row>
    <row r="521" spans="1:8" ht="11.5" customHeight="1" x14ac:dyDescent="0.2">
      <c r="A521" s="125">
        <v>1020010622</v>
      </c>
      <c r="C521" s="85" t="s">
        <v>642</v>
      </c>
      <c r="D521" s="12">
        <f t="shared" si="32"/>
        <v>20137.75</v>
      </c>
      <c r="E521" s="12"/>
      <c r="F521" s="137">
        <v>36.950000000000003</v>
      </c>
      <c r="G521" s="138">
        <v>29.56</v>
      </c>
      <c r="H521" s="154"/>
    </row>
    <row r="522" spans="1:8" ht="11.5" customHeight="1" x14ac:dyDescent="0.2">
      <c r="A522" s="125">
        <v>1021010622</v>
      </c>
      <c r="C522" s="85" t="s">
        <v>643</v>
      </c>
      <c r="D522" s="12">
        <f t="shared" si="32"/>
        <v>21750.949999999997</v>
      </c>
      <c r="E522" s="12"/>
      <c r="F522" s="137">
        <v>39.909999999999997</v>
      </c>
      <c r="G522" s="138">
        <v>31.93</v>
      </c>
      <c r="H522" s="154"/>
    </row>
    <row r="523" spans="1:8" ht="11.5" customHeight="1" x14ac:dyDescent="0.2">
      <c r="A523" s="125">
        <v>1022010622</v>
      </c>
      <c r="C523" s="85" t="s">
        <v>644</v>
      </c>
      <c r="D523" s="12">
        <f t="shared" si="32"/>
        <v>25511.45</v>
      </c>
      <c r="E523" s="12"/>
      <c r="F523" s="137">
        <v>46.81</v>
      </c>
      <c r="G523" s="138">
        <v>37.450000000000003</v>
      </c>
      <c r="H523" s="154"/>
    </row>
    <row r="524" spans="1:8" ht="11.5" hidden="1" customHeight="1" x14ac:dyDescent="0.2">
      <c r="A524" s="125">
        <v>1023010622</v>
      </c>
      <c r="C524" s="85" t="s">
        <v>645</v>
      </c>
      <c r="D524" s="12">
        <f t="shared" si="32"/>
        <v>40101.1</v>
      </c>
      <c r="E524" s="12">
        <f t="shared" ref="E520:E525" si="33">G524*$F$10</f>
        <v>32078.7</v>
      </c>
      <c r="F524" s="137">
        <v>73.58</v>
      </c>
      <c r="G524" s="138">
        <v>58.86</v>
      </c>
      <c r="H524" s="154"/>
    </row>
    <row r="525" spans="1:8" ht="11.5" hidden="1" customHeight="1" x14ac:dyDescent="0.2">
      <c r="A525" s="125">
        <v>343</v>
      </c>
      <c r="C525" s="85" t="s">
        <v>409</v>
      </c>
      <c r="D525" s="12">
        <f t="shared" si="32"/>
        <v>48728.45</v>
      </c>
      <c r="E525" s="12">
        <f t="shared" si="33"/>
        <v>44831.700000000004</v>
      </c>
      <c r="F525" s="39">
        <v>89.41</v>
      </c>
      <c r="G525" s="38">
        <v>82.26</v>
      </c>
      <c r="H525" s="154"/>
    </row>
    <row r="526" spans="1:8" ht="14" x14ac:dyDescent="0.2">
      <c r="A526" s="125">
        <v>344</v>
      </c>
      <c r="C526" s="53" t="s">
        <v>515</v>
      </c>
      <c r="D526" s="205"/>
      <c r="E526" s="205"/>
      <c r="F526" s="205"/>
      <c r="G526" s="206"/>
    </row>
    <row r="527" spans="1:8" ht="14" x14ac:dyDescent="0.2">
      <c r="A527" s="125">
        <v>345</v>
      </c>
      <c r="C527" s="189" t="s">
        <v>516</v>
      </c>
      <c r="D527" s="190"/>
      <c r="E527" s="190"/>
      <c r="F527" s="190"/>
      <c r="G527" s="191"/>
    </row>
    <row r="528" spans="1:8" ht="20" x14ac:dyDescent="0.2">
      <c r="A528" s="124">
        <v>346</v>
      </c>
      <c r="C528" s="93" t="s">
        <v>339</v>
      </c>
      <c r="D528" s="12">
        <f t="shared" ref="D528:D537" si="34">F528*$D$10</f>
        <v>26999.3</v>
      </c>
      <c r="E528" s="12"/>
      <c r="F528" s="135">
        <v>49.54</v>
      </c>
      <c r="G528" s="136">
        <v>41.28</v>
      </c>
      <c r="H528" s="157"/>
    </row>
    <row r="529" spans="1:8" ht="20" x14ac:dyDescent="0.2">
      <c r="A529" s="124">
        <v>943091123</v>
      </c>
      <c r="C529" s="93" t="s">
        <v>742</v>
      </c>
      <c r="D529" s="12">
        <f>F529*$D$10</f>
        <v>44842.6</v>
      </c>
      <c r="E529" s="12"/>
      <c r="F529" s="135">
        <v>82.28</v>
      </c>
      <c r="G529" s="136">
        <v>68.569999999999993</v>
      </c>
      <c r="H529" s="157"/>
    </row>
    <row r="530" spans="1:8" ht="20" x14ac:dyDescent="0.2">
      <c r="A530" s="125">
        <v>347</v>
      </c>
      <c r="C530" s="160" t="s">
        <v>343</v>
      </c>
      <c r="D530" s="12">
        <f t="shared" si="34"/>
        <v>62266.25</v>
      </c>
      <c r="E530" s="12"/>
      <c r="F530" s="135">
        <v>114.25</v>
      </c>
      <c r="G530" s="136">
        <v>95.21</v>
      </c>
      <c r="H530" s="157"/>
    </row>
    <row r="531" spans="1:8" ht="20" x14ac:dyDescent="0.2">
      <c r="A531" s="125">
        <v>348</v>
      </c>
      <c r="C531" s="54" t="s">
        <v>206</v>
      </c>
      <c r="D531" s="12">
        <f t="shared" si="34"/>
        <v>77896.850000000006</v>
      </c>
      <c r="E531" s="12"/>
      <c r="F531" s="135">
        <v>142.93</v>
      </c>
      <c r="G531" s="136">
        <v>119.11</v>
      </c>
      <c r="H531" s="157"/>
    </row>
    <row r="532" spans="1:8" ht="20" x14ac:dyDescent="0.2">
      <c r="A532" s="125">
        <v>349</v>
      </c>
      <c r="C532" s="54" t="s">
        <v>205</v>
      </c>
      <c r="D532" s="12">
        <f t="shared" si="34"/>
        <v>67732.600000000006</v>
      </c>
      <c r="E532" s="12"/>
      <c r="F532" s="135">
        <v>124.28</v>
      </c>
      <c r="G532" s="136">
        <v>103.57</v>
      </c>
      <c r="H532" s="157"/>
    </row>
    <row r="533" spans="1:8" ht="20" x14ac:dyDescent="0.2">
      <c r="A533" s="124">
        <v>350</v>
      </c>
      <c r="C533" s="160" t="s">
        <v>207</v>
      </c>
      <c r="D533" s="12">
        <f t="shared" si="34"/>
        <v>100334.91735489598</v>
      </c>
      <c r="E533" s="12"/>
      <c r="F533" s="135">
        <v>184.10076578879998</v>
      </c>
      <c r="G533" s="136">
        <v>153.41730482399998</v>
      </c>
      <c r="H533" s="157"/>
    </row>
    <row r="534" spans="1:8" ht="25.9" customHeight="1" x14ac:dyDescent="0.2">
      <c r="A534" s="125">
        <v>351</v>
      </c>
      <c r="C534" s="54" t="s">
        <v>208</v>
      </c>
      <c r="D534" s="12">
        <f t="shared" si="34"/>
        <v>151766.15000000002</v>
      </c>
      <c r="E534" s="12"/>
      <c r="F534" s="135">
        <v>278.47000000000003</v>
      </c>
      <c r="G534" s="136">
        <v>232.06</v>
      </c>
      <c r="H534" s="157"/>
    </row>
    <row r="535" spans="1:8" ht="20" x14ac:dyDescent="0.2">
      <c r="A535" s="125">
        <v>352</v>
      </c>
      <c r="C535" s="54" t="s">
        <v>209</v>
      </c>
      <c r="D535" s="12">
        <f t="shared" si="34"/>
        <v>217957.751674992</v>
      </c>
      <c r="E535" s="12"/>
      <c r="F535" s="135">
        <v>399.92248013760002</v>
      </c>
      <c r="G535" s="136">
        <v>333.26873344800003</v>
      </c>
      <c r="H535" s="157"/>
    </row>
    <row r="536" spans="1:8" ht="20" x14ac:dyDescent="0.2">
      <c r="A536" s="125">
        <v>353</v>
      </c>
      <c r="C536" s="54" t="s">
        <v>210</v>
      </c>
      <c r="D536" s="12">
        <f t="shared" si="34"/>
        <v>251457.62073228002</v>
      </c>
      <c r="E536" s="12"/>
      <c r="F536" s="135">
        <v>461.39012978400001</v>
      </c>
      <c r="G536" s="136">
        <v>384.49177482000005</v>
      </c>
      <c r="H536" s="157"/>
    </row>
    <row r="537" spans="1:8" ht="30" x14ac:dyDescent="0.2">
      <c r="A537" s="124">
        <v>354</v>
      </c>
      <c r="C537" s="54" t="s">
        <v>452</v>
      </c>
      <c r="D537" s="12">
        <f t="shared" si="34"/>
        <v>356133.92673916795</v>
      </c>
      <c r="E537" s="12"/>
      <c r="F537" s="135">
        <v>653.45674631039992</v>
      </c>
      <c r="G537" s="136">
        <v>544.54728859199997</v>
      </c>
      <c r="H537" s="157"/>
    </row>
    <row r="538" spans="1:8" ht="14" x14ac:dyDescent="0.2">
      <c r="A538" s="125">
        <v>355</v>
      </c>
      <c r="C538" s="189" t="s">
        <v>517</v>
      </c>
      <c r="D538" s="190"/>
      <c r="E538" s="190"/>
      <c r="F538" s="190"/>
      <c r="G538" s="191"/>
      <c r="H538" s="154"/>
    </row>
    <row r="539" spans="1:8" ht="20" x14ac:dyDescent="0.2">
      <c r="A539" s="125">
        <v>356</v>
      </c>
      <c r="C539" s="93" t="s">
        <v>211</v>
      </c>
      <c r="D539" s="12">
        <f>F539*$D$10</f>
        <v>87132.262200263984</v>
      </c>
      <c r="E539" s="12"/>
      <c r="F539" s="161">
        <v>159.87571045919998</v>
      </c>
      <c r="G539" s="162">
        <v>133.22975871599999</v>
      </c>
      <c r="H539" s="157"/>
    </row>
    <row r="540" spans="1:8" ht="20" x14ac:dyDescent="0.2">
      <c r="A540" s="125">
        <v>357</v>
      </c>
      <c r="C540" s="54" t="s">
        <v>212</v>
      </c>
      <c r="D540" s="12">
        <f>F540*$D$10</f>
        <v>117377.024773392</v>
      </c>
      <c r="E540" s="12"/>
      <c r="F540" s="161">
        <v>215.3706876576</v>
      </c>
      <c r="G540" s="162">
        <v>179.475573048</v>
      </c>
      <c r="H540" s="157"/>
    </row>
    <row r="541" spans="1:8" ht="20" x14ac:dyDescent="0.2">
      <c r="A541" s="124">
        <v>358</v>
      </c>
      <c r="C541" s="54" t="s">
        <v>213</v>
      </c>
      <c r="D541" s="12">
        <f>F541*$D$10</f>
        <v>165459.229221744</v>
      </c>
      <c r="E541" s="12"/>
      <c r="F541" s="161">
        <v>303.59491600320001</v>
      </c>
      <c r="G541" s="162">
        <v>252.99576333600001</v>
      </c>
      <c r="H541" s="157"/>
    </row>
    <row r="542" spans="1:8" ht="20" x14ac:dyDescent="0.2">
      <c r="A542" s="125">
        <v>359</v>
      </c>
      <c r="C542" s="93" t="s">
        <v>214</v>
      </c>
      <c r="D542" s="12">
        <f>F542*$D$10</f>
        <v>211101.78036736799</v>
      </c>
      <c r="E542" s="12"/>
      <c r="F542" s="161">
        <v>387.34271627039999</v>
      </c>
      <c r="G542" s="162">
        <v>322.785596892</v>
      </c>
      <c r="H542" s="157"/>
    </row>
    <row r="543" spans="1:8" ht="20" x14ac:dyDescent="0.2">
      <c r="A543" s="125">
        <v>360</v>
      </c>
      <c r="C543" s="93" t="s">
        <v>215</v>
      </c>
      <c r="D543" s="12">
        <f>F543*$D$10</f>
        <v>369303.30861832795</v>
      </c>
      <c r="E543" s="12"/>
      <c r="F543" s="161">
        <v>677.62074975839994</v>
      </c>
      <c r="G543" s="162">
        <v>564.68395813199993</v>
      </c>
      <c r="H543" s="157"/>
    </row>
    <row r="544" spans="1:8" ht="14" x14ac:dyDescent="0.2">
      <c r="A544" s="125">
        <v>361</v>
      </c>
      <c r="C544" s="192" t="s">
        <v>518</v>
      </c>
      <c r="D544" s="193"/>
      <c r="E544" s="193"/>
      <c r="F544" s="193"/>
      <c r="G544" s="194"/>
      <c r="H544" s="154"/>
    </row>
    <row r="545" spans="1:8" ht="10.5" x14ac:dyDescent="0.2">
      <c r="A545" s="125">
        <v>2210181210</v>
      </c>
      <c r="C545" s="84" t="s">
        <v>476</v>
      </c>
      <c r="D545" s="80">
        <f>F545*$D$10</f>
        <v>4196.5</v>
      </c>
      <c r="E545" s="12"/>
      <c r="F545" s="81">
        <v>7.7</v>
      </c>
      <c r="G545" s="82">
        <v>6.98</v>
      </c>
      <c r="H545" s="157"/>
    </row>
    <row r="546" spans="1:8" ht="10.5" x14ac:dyDescent="0.2">
      <c r="A546" s="125">
        <v>2702181139</v>
      </c>
      <c r="C546" s="54" t="s">
        <v>475</v>
      </c>
      <c r="D546" s="12">
        <f>F546*$D$10</f>
        <v>4894.1000000000004</v>
      </c>
      <c r="E546" s="12"/>
      <c r="F546" s="39">
        <v>8.98</v>
      </c>
      <c r="G546" s="38">
        <v>8.14</v>
      </c>
      <c r="H546" s="157"/>
    </row>
    <row r="547" spans="1:8" ht="10.5" x14ac:dyDescent="0.2">
      <c r="A547" s="124">
        <v>362</v>
      </c>
      <c r="C547" s="54" t="s">
        <v>216</v>
      </c>
      <c r="D547" s="12">
        <f>F547*$D$10</f>
        <v>6583.0788622800001</v>
      </c>
      <c r="E547" s="12"/>
      <c r="F547" s="39">
        <v>12.079043784</v>
      </c>
      <c r="G547" s="38">
        <v>10.06586982</v>
      </c>
      <c r="H547" s="157"/>
    </row>
    <row r="548" spans="1:8" ht="10.5" x14ac:dyDescent="0.2">
      <c r="A548" s="125">
        <v>363</v>
      </c>
      <c r="C548" s="54" t="s">
        <v>217</v>
      </c>
      <c r="D548" s="12">
        <f>F548*$D$10</f>
        <v>7707.0191558400002</v>
      </c>
      <c r="E548" s="12"/>
      <c r="F548" s="39">
        <v>14.141319552000001</v>
      </c>
      <c r="G548" s="38">
        <v>11.78443296</v>
      </c>
      <c r="H548" s="157"/>
    </row>
    <row r="549" spans="1:8" ht="10.5" x14ac:dyDescent="0.2">
      <c r="A549" s="125">
        <v>364</v>
      </c>
      <c r="C549" s="54" t="s">
        <v>218</v>
      </c>
      <c r="D549" s="12">
        <f>F549*$D$10</f>
        <v>11772</v>
      </c>
      <c r="E549" s="12"/>
      <c r="F549" s="39">
        <v>21.6</v>
      </c>
      <c r="G549" s="38">
        <v>17.5</v>
      </c>
      <c r="H549" s="154"/>
    </row>
    <row r="550" spans="1:8" ht="14" x14ac:dyDescent="0.2">
      <c r="A550" s="125">
        <v>365</v>
      </c>
      <c r="C550" s="32" t="s">
        <v>519</v>
      </c>
      <c r="D550" s="195"/>
      <c r="E550" s="195"/>
      <c r="F550" s="195"/>
      <c r="G550" s="196"/>
      <c r="H550" s="154"/>
    </row>
    <row r="551" spans="1:8" ht="14" x14ac:dyDescent="0.2">
      <c r="A551" s="124">
        <v>366</v>
      </c>
      <c r="C551" s="197" t="s">
        <v>520</v>
      </c>
      <c r="D551" s="190"/>
      <c r="E551" s="190"/>
      <c r="F551" s="190"/>
      <c r="G551" s="191"/>
      <c r="H551" s="154"/>
    </row>
    <row r="552" spans="1:8" ht="10.5" x14ac:dyDescent="0.2">
      <c r="A552" s="125">
        <v>1105130126</v>
      </c>
      <c r="C552" s="109" t="s">
        <v>804</v>
      </c>
      <c r="D552" s="101">
        <f t="shared" ref="D552:D557" si="35">F552*$D$10</f>
        <v>4648.8499999999995</v>
      </c>
      <c r="E552" s="101"/>
      <c r="F552" s="110">
        <v>8.5299999999999994</v>
      </c>
      <c r="G552" s="102">
        <v>6.09</v>
      </c>
      <c r="H552" s="181"/>
    </row>
    <row r="553" spans="1:8" ht="10.5" hidden="1" x14ac:dyDescent="0.2">
      <c r="A553" s="125">
        <v>842090419</v>
      </c>
      <c r="C553" s="109" t="s">
        <v>488</v>
      </c>
      <c r="D553" s="101">
        <f t="shared" si="35"/>
        <v>17167.5</v>
      </c>
      <c r="E553" s="101"/>
      <c r="F553" s="110">
        <v>31.5</v>
      </c>
      <c r="G553" s="102">
        <v>23.6</v>
      </c>
      <c r="H553" s="181"/>
    </row>
    <row r="554" spans="1:8" ht="10.5" x14ac:dyDescent="0.2">
      <c r="A554" s="125">
        <v>1106130126</v>
      </c>
      <c r="C554" s="109" t="s">
        <v>803</v>
      </c>
      <c r="D554" s="101">
        <f t="shared" si="35"/>
        <v>4981.3</v>
      </c>
      <c r="E554" s="101"/>
      <c r="F554" s="110">
        <v>9.14</v>
      </c>
      <c r="G554" s="102">
        <v>6.53</v>
      </c>
      <c r="H554" s="181"/>
    </row>
    <row r="555" spans="1:8" ht="10.5" x14ac:dyDescent="0.2">
      <c r="A555" s="125">
        <v>1107130126</v>
      </c>
      <c r="C555" s="109" t="s">
        <v>802</v>
      </c>
      <c r="D555" s="101">
        <f t="shared" si="35"/>
        <v>4981.3</v>
      </c>
      <c r="E555" s="101"/>
      <c r="F555" s="110">
        <v>9.14</v>
      </c>
      <c r="G555" s="102">
        <v>6.53</v>
      </c>
      <c r="H555" s="181"/>
    </row>
    <row r="556" spans="1:8" ht="10.5" x14ac:dyDescent="0.2">
      <c r="A556" s="125">
        <v>1108130126</v>
      </c>
      <c r="C556" s="109" t="s">
        <v>801</v>
      </c>
      <c r="D556" s="101">
        <f t="shared" si="35"/>
        <v>4981.3</v>
      </c>
      <c r="E556" s="101"/>
      <c r="F556" s="110">
        <v>9.14</v>
      </c>
      <c r="G556" s="102">
        <v>6.53</v>
      </c>
      <c r="H556" s="181"/>
    </row>
    <row r="557" spans="1:8" ht="10.5" x14ac:dyDescent="0.2">
      <c r="A557" s="125">
        <v>1109130126</v>
      </c>
      <c r="C557" s="109" t="s">
        <v>800</v>
      </c>
      <c r="D557" s="101">
        <f t="shared" si="35"/>
        <v>8790.85</v>
      </c>
      <c r="E557" s="101"/>
      <c r="F557" s="110">
        <v>16.13</v>
      </c>
      <c r="G557" s="102">
        <v>12.4</v>
      </c>
      <c r="H557" s="181"/>
    </row>
    <row r="558" spans="1:8" ht="10.5" x14ac:dyDescent="0.2">
      <c r="A558" s="125">
        <v>367</v>
      </c>
      <c r="C558" s="54" t="s">
        <v>340</v>
      </c>
      <c r="D558" s="12">
        <f>F558*$D$10</f>
        <v>15210.95</v>
      </c>
      <c r="E558" s="12"/>
      <c r="F558" s="39">
        <v>27.91</v>
      </c>
      <c r="G558" s="38">
        <v>20.67</v>
      </c>
      <c r="H558" s="154"/>
    </row>
    <row r="559" spans="1:8" ht="20" hidden="1" x14ac:dyDescent="0.2">
      <c r="A559" s="125">
        <v>368</v>
      </c>
      <c r="C559" s="33" t="s">
        <v>219</v>
      </c>
      <c r="D559" s="12">
        <f>F559*$D$10</f>
        <v>13625</v>
      </c>
      <c r="E559" s="12"/>
      <c r="F559" s="39">
        <v>25</v>
      </c>
      <c r="G559" s="38">
        <v>17.5</v>
      </c>
      <c r="H559" s="154"/>
    </row>
    <row r="560" spans="1:8" ht="20" x14ac:dyDescent="0.2">
      <c r="A560" s="125">
        <v>369</v>
      </c>
      <c r="C560" s="54" t="s">
        <v>220</v>
      </c>
      <c r="D560" s="12">
        <f t="shared" ref="D560:D596" si="36">F560*$D$10</f>
        <v>10900</v>
      </c>
      <c r="E560" s="12"/>
      <c r="F560" s="39">
        <v>20</v>
      </c>
      <c r="G560" s="38">
        <v>15</v>
      </c>
      <c r="H560" s="154"/>
    </row>
    <row r="561" spans="1:8" ht="20" x14ac:dyDescent="0.2">
      <c r="A561" s="124">
        <v>370</v>
      </c>
      <c r="C561" s="54" t="s">
        <v>221</v>
      </c>
      <c r="D561" s="12">
        <f t="shared" si="36"/>
        <v>10900</v>
      </c>
      <c r="E561" s="12"/>
      <c r="F561" s="39">
        <v>20</v>
      </c>
      <c r="G561" s="38">
        <v>15</v>
      </c>
      <c r="H561" s="154"/>
    </row>
    <row r="562" spans="1:8" ht="20" x14ac:dyDescent="0.2">
      <c r="A562" s="125">
        <v>371</v>
      </c>
      <c r="C562" s="54" t="s">
        <v>222</v>
      </c>
      <c r="D562" s="12">
        <f t="shared" si="36"/>
        <v>10900</v>
      </c>
      <c r="E562" s="12"/>
      <c r="F562" s="39">
        <v>20</v>
      </c>
      <c r="G562" s="38">
        <v>15</v>
      </c>
      <c r="H562" s="154"/>
    </row>
    <row r="563" spans="1:8" ht="10.5" x14ac:dyDescent="0.2">
      <c r="A563" s="125">
        <v>372</v>
      </c>
      <c r="C563" s="54" t="s">
        <v>342</v>
      </c>
      <c r="D563" s="12">
        <f t="shared" si="36"/>
        <v>10840.050000000001</v>
      </c>
      <c r="E563" s="12"/>
      <c r="F563" s="39">
        <v>19.89</v>
      </c>
      <c r="G563" s="38">
        <v>14.73</v>
      </c>
      <c r="H563" s="154"/>
    </row>
    <row r="564" spans="1:8" ht="10.5" x14ac:dyDescent="0.2">
      <c r="A564" s="125">
        <v>120120221747</v>
      </c>
      <c r="C564" s="54" t="s">
        <v>776</v>
      </c>
      <c r="D564" s="12">
        <f t="shared" si="36"/>
        <v>13401.55</v>
      </c>
      <c r="E564" s="12"/>
      <c r="F564" s="39">
        <v>24.59</v>
      </c>
      <c r="G564" s="38">
        <v>19.670000000000002</v>
      </c>
      <c r="H564" s="154"/>
    </row>
    <row r="565" spans="1:8" ht="10.5" x14ac:dyDescent="0.2">
      <c r="A565" s="125">
        <v>1444050525</v>
      </c>
      <c r="C565" s="54" t="s">
        <v>778</v>
      </c>
      <c r="D565" s="95">
        <f>F565*$D$10</f>
        <v>14742.25</v>
      </c>
      <c r="E565" s="95"/>
      <c r="F565" s="104">
        <v>27.05</v>
      </c>
      <c r="G565" s="96">
        <v>21.64</v>
      </c>
      <c r="H565" s="154"/>
    </row>
    <row r="566" spans="1:8" ht="20" x14ac:dyDescent="0.2">
      <c r="A566" s="125">
        <v>373</v>
      </c>
      <c r="C566" s="54" t="s">
        <v>223</v>
      </c>
      <c r="D566" s="12">
        <f t="shared" si="36"/>
        <v>9537.5</v>
      </c>
      <c r="E566" s="12"/>
      <c r="F566" s="39">
        <v>17.5</v>
      </c>
      <c r="G566" s="38">
        <v>12.5</v>
      </c>
      <c r="H566" s="154"/>
    </row>
    <row r="567" spans="1:8" ht="10.5" x14ac:dyDescent="0.2">
      <c r="A567" s="125">
        <v>120120221746</v>
      </c>
      <c r="C567" s="54" t="s">
        <v>775</v>
      </c>
      <c r="D567" s="12">
        <f t="shared" si="36"/>
        <v>8703.65</v>
      </c>
      <c r="E567" s="12"/>
      <c r="F567" s="39">
        <v>15.97</v>
      </c>
      <c r="G567" s="38">
        <v>13.31</v>
      </c>
      <c r="H567" s="154"/>
    </row>
    <row r="568" spans="1:8" ht="10.5" x14ac:dyDescent="0.2">
      <c r="A568" s="125">
        <v>1445050525</v>
      </c>
      <c r="C568" s="54" t="s">
        <v>777</v>
      </c>
      <c r="D568" s="12">
        <f>F568*$D$10</f>
        <v>10153.35</v>
      </c>
      <c r="E568" s="12"/>
      <c r="F568" s="39">
        <v>18.63</v>
      </c>
      <c r="G568" s="38">
        <v>14.9</v>
      </c>
      <c r="H568" s="154"/>
    </row>
    <row r="569" spans="1:8" ht="10.5" x14ac:dyDescent="0.2">
      <c r="A569" s="124">
        <v>374</v>
      </c>
      <c r="C569" s="54" t="s">
        <v>341</v>
      </c>
      <c r="D569" s="12">
        <f t="shared" si="36"/>
        <v>7586.4</v>
      </c>
      <c r="E569" s="12"/>
      <c r="F569" s="39">
        <v>13.92</v>
      </c>
      <c r="G569" s="38">
        <v>10.31</v>
      </c>
      <c r="H569" s="154"/>
    </row>
    <row r="570" spans="1:8" ht="20" x14ac:dyDescent="0.2">
      <c r="A570" s="125">
        <v>375</v>
      </c>
      <c r="C570" s="54" t="s">
        <v>224</v>
      </c>
      <c r="D570" s="12">
        <f t="shared" si="36"/>
        <v>7155.85</v>
      </c>
      <c r="E570" s="12"/>
      <c r="F570" s="39">
        <v>13.13</v>
      </c>
      <c r="G570" s="38">
        <v>10.48</v>
      </c>
      <c r="H570" s="154"/>
    </row>
    <row r="571" spans="1:8" ht="20" x14ac:dyDescent="0.2">
      <c r="A571" s="125">
        <v>376</v>
      </c>
      <c r="C571" s="54" t="s">
        <v>225</v>
      </c>
      <c r="D571" s="12">
        <f t="shared" si="36"/>
        <v>6267.5</v>
      </c>
      <c r="E571" s="12"/>
      <c r="F571" s="39">
        <v>11.5</v>
      </c>
      <c r="G571" s="38">
        <v>8.5</v>
      </c>
      <c r="H571" s="154"/>
    </row>
    <row r="572" spans="1:8" ht="20" x14ac:dyDescent="0.2">
      <c r="A572" s="125">
        <v>379</v>
      </c>
      <c r="C572" s="54" t="s">
        <v>359</v>
      </c>
      <c r="D572" s="12">
        <f>F572*$D$10</f>
        <v>5722.5</v>
      </c>
      <c r="E572" s="12"/>
      <c r="F572" s="39">
        <v>10.5</v>
      </c>
      <c r="G572" s="38">
        <v>7.6</v>
      </c>
      <c r="H572" s="154"/>
    </row>
    <row r="573" spans="1:8" ht="10.5" x14ac:dyDescent="0.2">
      <c r="A573" s="125">
        <v>1740021122</v>
      </c>
      <c r="C573" s="54" t="s">
        <v>695</v>
      </c>
      <c r="D573" s="12">
        <f>F573*$D$10</f>
        <v>5798.8</v>
      </c>
      <c r="E573" s="12"/>
      <c r="F573" s="39">
        <v>10.64</v>
      </c>
      <c r="G573" s="38">
        <v>8.8699999999999992</v>
      </c>
      <c r="H573" s="154"/>
    </row>
    <row r="574" spans="1:8" ht="10.5" x14ac:dyDescent="0.2">
      <c r="A574" s="125">
        <v>1741021122</v>
      </c>
      <c r="C574" s="54" t="s">
        <v>696</v>
      </c>
      <c r="D574" s="12">
        <f>F574*$D$10</f>
        <v>6523.6500000000005</v>
      </c>
      <c r="E574" s="12"/>
      <c r="F574" s="39">
        <v>11.97</v>
      </c>
      <c r="G574" s="38">
        <v>9.98</v>
      </c>
      <c r="H574" s="154"/>
    </row>
    <row r="575" spans="1:8" ht="20" x14ac:dyDescent="0.2">
      <c r="A575" s="125">
        <v>377</v>
      </c>
      <c r="C575" s="54" t="s">
        <v>226</v>
      </c>
      <c r="D575" s="12">
        <f t="shared" si="36"/>
        <v>5995</v>
      </c>
      <c r="E575" s="12"/>
      <c r="F575" s="39">
        <v>11</v>
      </c>
      <c r="G575" s="38">
        <v>6.5</v>
      </c>
    </row>
    <row r="576" spans="1:8" ht="20" x14ac:dyDescent="0.2">
      <c r="A576" s="124">
        <v>378</v>
      </c>
      <c r="C576" s="54" t="s">
        <v>227</v>
      </c>
      <c r="D576" s="12">
        <f>F576*$D$10</f>
        <v>5886</v>
      </c>
      <c r="E576" s="12"/>
      <c r="F576" s="39">
        <v>10.8</v>
      </c>
      <c r="G576" s="38">
        <v>6</v>
      </c>
    </row>
    <row r="577" spans="1:8" ht="20" hidden="1" x14ac:dyDescent="0.2">
      <c r="A577" s="125">
        <v>380</v>
      </c>
      <c r="C577" s="54" t="s">
        <v>228</v>
      </c>
      <c r="D577" s="12">
        <f>F577*$D$10</f>
        <v>4905</v>
      </c>
      <c r="E577" s="12"/>
      <c r="F577" s="39">
        <v>9</v>
      </c>
      <c r="G577" s="38">
        <v>4.75</v>
      </c>
    </row>
    <row r="578" spans="1:8" ht="10.5" x14ac:dyDescent="0.2">
      <c r="A578" s="125">
        <v>1525021222</v>
      </c>
      <c r="C578" s="54" t="s">
        <v>703</v>
      </c>
      <c r="D578" s="12">
        <f>F578*$D$10</f>
        <v>4632.5</v>
      </c>
      <c r="E578" s="12"/>
      <c r="F578" s="39">
        <v>8.5</v>
      </c>
      <c r="G578" s="38">
        <v>6.07</v>
      </c>
      <c r="H578" s="154"/>
    </row>
    <row r="579" spans="1:8" ht="10.5" x14ac:dyDescent="0.2">
      <c r="A579" s="125">
        <v>381</v>
      </c>
      <c r="C579" s="84" t="s">
        <v>436</v>
      </c>
      <c r="D579" s="12">
        <f t="shared" si="36"/>
        <v>2670.5</v>
      </c>
      <c r="E579" s="12"/>
      <c r="F579" s="39">
        <v>4.9000000000000004</v>
      </c>
      <c r="G579" s="38">
        <v>3.5</v>
      </c>
      <c r="H579" s="154"/>
    </row>
    <row r="580" spans="1:8" ht="20" x14ac:dyDescent="0.2">
      <c r="A580" s="124">
        <v>382</v>
      </c>
      <c r="C580" s="54" t="s">
        <v>229</v>
      </c>
      <c r="D580" s="12">
        <f t="shared" si="36"/>
        <v>11445</v>
      </c>
      <c r="E580" s="12"/>
      <c r="F580" s="39">
        <v>21</v>
      </c>
      <c r="G580" s="38">
        <v>15.9</v>
      </c>
      <c r="H580" s="154"/>
    </row>
    <row r="581" spans="1:8" x14ac:dyDescent="0.2">
      <c r="A581" s="125">
        <v>383</v>
      </c>
      <c r="C581" s="54" t="s">
        <v>230</v>
      </c>
      <c r="D581" s="12">
        <f t="shared" si="36"/>
        <v>817.5</v>
      </c>
      <c r="E581" s="12"/>
      <c r="F581" s="39">
        <v>1.5</v>
      </c>
      <c r="G581" s="38">
        <v>1</v>
      </c>
    </row>
    <row r="582" spans="1:8" x14ac:dyDescent="0.2">
      <c r="A582" s="125">
        <v>384</v>
      </c>
      <c r="C582" s="60" t="s">
        <v>231</v>
      </c>
      <c r="D582" s="12">
        <f t="shared" si="36"/>
        <v>6540</v>
      </c>
      <c r="E582" s="12"/>
      <c r="F582" s="39">
        <v>12</v>
      </c>
      <c r="G582" s="38">
        <v>9</v>
      </c>
    </row>
    <row r="583" spans="1:8" x14ac:dyDescent="0.2">
      <c r="A583" s="125">
        <v>385</v>
      </c>
      <c r="C583" s="54" t="s">
        <v>233</v>
      </c>
      <c r="D583" s="12">
        <f t="shared" si="36"/>
        <v>12099</v>
      </c>
      <c r="E583" s="12"/>
      <c r="F583" s="39">
        <v>22.2</v>
      </c>
      <c r="G583" s="38">
        <v>16.75</v>
      </c>
    </row>
    <row r="584" spans="1:8" x14ac:dyDescent="0.2">
      <c r="A584" s="125">
        <v>1046170625</v>
      </c>
      <c r="C584" s="86" t="s">
        <v>781</v>
      </c>
      <c r="D584" s="12">
        <f>F584*$D$10</f>
        <v>13080</v>
      </c>
      <c r="E584" s="12"/>
      <c r="F584" s="39">
        <v>24</v>
      </c>
      <c r="G584" s="38">
        <v>18</v>
      </c>
    </row>
    <row r="585" spans="1:8" x14ac:dyDescent="0.2">
      <c r="A585" s="124">
        <v>386</v>
      </c>
      <c r="C585" s="86" t="s">
        <v>780</v>
      </c>
      <c r="D585" s="12">
        <f t="shared" si="36"/>
        <v>13080</v>
      </c>
      <c r="E585" s="12"/>
      <c r="F585" s="39">
        <v>24</v>
      </c>
      <c r="G585" s="38">
        <v>18</v>
      </c>
    </row>
    <row r="586" spans="1:8" x14ac:dyDescent="0.2">
      <c r="A586" s="125">
        <v>1158180418</v>
      </c>
      <c r="C586" s="60" t="s">
        <v>465</v>
      </c>
      <c r="D586" s="12">
        <f t="shared" si="36"/>
        <v>13080</v>
      </c>
      <c r="E586" s="12"/>
      <c r="F586" s="39">
        <v>24</v>
      </c>
      <c r="G586" s="38">
        <v>18</v>
      </c>
    </row>
    <row r="587" spans="1:8" x14ac:dyDescent="0.2">
      <c r="A587" s="125">
        <v>387</v>
      </c>
      <c r="C587" s="70" t="s">
        <v>437</v>
      </c>
      <c r="D587" s="12">
        <f>F587*$D$10</f>
        <v>13080</v>
      </c>
      <c r="E587" s="12"/>
      <c r="F587" s="39">
        <v>24</v>
      </c>
      <c r="G587" s="38">
        <v>18</v>
      </c>
    </row>
    <row r="588" spans="1:8" x14ac:dyDescent="0.2">
      <c r="A588" s="125">
        <v>388</v>
      </c>
      <c r="C588" s="60" t="s">
        <v>234</v>
      </c>
      <c r="D588" s="12">
        <f t="shared" si="36"/>
        <v>14715</v>
      </c>
      <c r="E588" s="12"/>
      <c r="F588" s="39">
        <v>27</v>
      </c>
      <c r="G588" s="38">
        <v>20.25</v>
      </c>
    </row>
    <row r="589" spans="1:8" x14ac:dyDescent="0.2">
      <c r="A589" s="125">
        <v>389</v>
      </c>
      <c r="C589" s="86" t="s">
        <v>406</v>
      </c>
      <c r="D589" s="12">
        <f t="shared" ref="D589:D595" si="37">F589*$D$10</f>
        <v>15325.4</v>
      </c>
      <c r="E589" s="12"/>
      <c r="F589" s="39">
        <v>28.12</v>
      </c>
      <c r="G589" s="38">
        <v>22.5</v>
      </c>
    </row>
    <row r="590" spans="1:8" s="9" customFormat="1" ht="10.5" x14ac:dyDescent="0.2">
      <c r="A590" s="125">
        <v>1500230125</v>
      </c>
      <c r="C590" s="84" t="s">
        <v>769</v>
      </c>
      <c r="D590" s="12">
        <f t="shared" si="37"/>
        <v>15483.45</v>
      </c>
      <c r="E590" s="12"/>
      <c r="F590" s="39">
        <v>28.41</v>
      </c>
      <c r="G590" s="38">
        <v>23.67</v>
      </c>
      <c r="H590" s="154"/>
    </row>
    <row r="591" spans="1:8" s="9" customFormat="1" x14ac:dyDescent="0.2">
      <c r="A591" s="125">
        <v>390</v>
      </c>
      <c r="C591" s="54" t="s">
        <v>232</v>
      </c>
      <c r="D591" s="12">
        <f t="shared" si="37"/>
        <v>17985</v>
      </c>
      <c r="E591" s="12"/>
      <c r="F591" s="39">
        <v>33</v>
      </c>
      <c r="G591" s="38">
        <v>24</v>
      </c>
      <c r="H591" s="155"/>
    </row>
    <row r="592" spans="1:8" s="9" customFormat="1" ht="10.5" x14ac:dyDescent="0.2">
      <c r="A592" s="125">
        <v>1501230125</v>
      </c>
      <c r="C592" s="54" t="s">
        <v>770</v>
      </c>
      <c r="D592" s="12">
        <f t="shared" si="37"/>
        <v>18829.75</v>
      </c>
      <c r="E592" s="12"/>
      <c r="F592" s="39">
        <v>34.549999999999997</v>
      </c>
      <c r="G592" s="38">
        <v>28.79</v>
      </c>
      <c r="H592" s="154"/>
    </row>
    <row r="593" spans="1:8" s="9" customFormat="1" ht="10.5" x14ac:dyDescent="0.2">
      <c r="A593" s="125">
        <v>1503230125</v>
      </c>
      <c r="C593" s="54" t="s">
        <v>582</v>
      </c>
      <c r="D593" s="12">
        <f t="shared" si="37"/>
        <v>19620</v>
      </c>
      <c r="E593" s="12"/>
      <c r="F593" s="39">
        <v>36</v>
      </c>
      <c r="G593" s="38">
        <v>27</v>
      </c>
      <c r="H593" s="154"/>
    </row>
    <row r="594" spans="1:8" s="9" customFormat="1" hidden="1" x14ac:dyDescent="0.2">
      <c r="A594" s="125">
        <v>391</v>
      </c>
      <c r="C594" s="54" t="s">
        <v>583</v>
      </c>
      <c r="D594" s="12">
        <f t="shared" si="37"/>
        <v>19620</v>
      </c>
      <c r="E594" s="12"/>
      <c r="F594" s="39">
        <v>36</v>
      </c>
      <c r="G594" s="38">
        <v>27</v>
      </c>
      <c r="H594" s="155"/>
    </row>
    <row r="595" spans="1:8" s="9" customFormat="1" ht="10.5" x14ac:dyDescent="0.2">
      <c r="A595" s="125">
        <v>1502230125</v>
      </c>
      <c r="C595" s="54" t="s">
        <v>771</v>
      </c>
      <c r="D595" s="12">
        <f t="shared" si="37"/>
        <v>20317.600000000002</v>
      </c>
      <c r="E595" s="12"/>
      <c r="F595" s="39">
        <v>37.28</v>
      </c>
      <c r="G595" s="38">
        <v>31.07</v>
      </c>
      <c r="H595" s="154"/>
    </row>
    <row r="596" spans="1:8" s="9" customFormat="1" x14ac:dyDescent="0.2">
      <c r="A596" s="125">
        <v>392</v>
      </c>
      <c r="C596" s="54" t="s">
        <v>235</v>
      </c>
      <c r="D596" s="12">
        <f t="shared" si="36"/>
        <v>23544</v>
      </c>
      <c r="E596" s="12"/>
      <c r="F596" s="39">
        <v>43.2</v>
      </c>
      <c r="G596" s="38">
        <v>33</v>
      </c>
      <c r="H596" s="155"/>
    </row>
    <row r="597" spans="1:8" ht="14" x14ac:dyDescent="0.2">
      <c r="A597" s="125">
        <v>393</v>
      </c>
      <c r="C597" s="197" t="s">
        <v>521</v>
      </c>
      <c r="D597" s="190"/>
      <c r="E597" s="190"/>
      <c r="F597" s="190"/>
      <c r="G597" s="191"/>
    </row>
    <row r="598" spans="1:8" hidden="1" x14ac:dyDescent="0.2">
      <c r="A598" s="124">
        <v>394</v>
      </c>
      <c r="C598" s="54" t="s">
        <v>236</v>
      </c>
      <c r="D598" s="12">
        <f>F598*$D$10</f>
        <v>1907.5</v>
      </c>
      <c r="E598" s="12">
        <f t="shared" ref="E598:E629" si="38">G598*$F$10</f>
        <v>1362.5</v>
      </c>
      <c r="F598" s="39">
        <v>3.5</v>
      </c>
      <c r="G598" s="38">
        <v>2.5</v>
      </c>
    </row>
    <row r="599" spans="1:8" x14ac:dyDescent="0.2">
      <c r="A599" s="124">
        <v>1701181751</v>
      </c>
      <c r="C599" s="54" t="s">
        <v>453</v>
      </c>
      <c r="D599" s="12">
        <f>F599*$D$10</f>
        <v>3270</v>
      </c>
      <c r="E599" s="12"/>
      <c r="F599" s="39">
        <v>6</v>
      </c>
      <c r="G599" s="38">
        <v>4</v>
      </c>
    </row>
    <row r="600" spans="1:8" ht="10.5" x14ac:dyDescent="0.2">
      <c r="A600" s="124">
        <v>1007180226</v>
      </c>
      <c r="C600" s="109" t="s">
        <v>805</v>
      </c>
      <c r="D600" s="101">
        <f>F600*$D$10</f>
        <v>3869.5</v>
      </c>
      <c r="E600" s="101"/>
      <c r="F600" s="110">
        <v>7.1</v>
      </c>
      <c r="G600" s="102">
        <v>5.92</v>
      </c>
      <c r="H600" s="154"/>
    </row>
    <row r="601" spans="1:8" ht="10.5" x14ac:dyDescent="0.2">
      <c r="A601" s="125">
        <v>395</v>
      </c>
      <c r="C601" s="109" t="s">
        <v>427</v>
      </c>
      <c r="D601" s="101">
        <f>F601*$D$10</f>
        <v>4556.2</v>
      </c>
      <c r="E601" s="101"/>
      <c r="F601" s="110">
        <v>8.36</v>
      </c>
      <c r="G601" s="102">
        <v>6.97</v>
      </c>
      <c r="H601" s="154"/>
    </row>
    <row r="602" spans="1:8" ht="10.5" x14ac:dyDescent="0.2">
      <c r="A602" s="125">
        <v>396</v>
      </c>
      <c r="C602" s="54" t="s">
        <v>237</v>
      </c>
      <c r="D602" s="12">
        <f t="shared" ref="D602:D621" si="39">F602*$D$10</f>
        <v>6540</v>
      </c>
      <c r="E602" s="12"/>
      <c r="F602" s="39">
        <v>12</v>
      </c>
      <c r="G602" s="38">
        <v>9</v>
      </c>
      <c r="H602" s="154"/>
    </row>
    <row r="603" spans="1:8" ht="10.5" x14ac:dyDescent="0.2">
      <c r="A603" s="125">
        <v>1751090920</v>
      </c>
      <c r="C603" s="56" t="s">
        <v>567</v>
      </c>
      <c r="D603" s="12">
        <f>F603*$D$10</f>
        <v>6703.5</v>
      </c>
      <c r="E603" s="12"/>
      <c r="F603" s="44">
        <v>12.3</v>
      </c>
      <c r="G603" s="72">
        <v>9.4600000000000009</v>
      </c>
      <c r="H603" s="154"/>
    </row>
    <row r="604" spans="1:8" ht="10.5" x14ac:dyDescent="0.2">
      <c r="A604" s="125">
        <v>1150080422</v>
      </c>
      <c r="C604" s="54" t="s">
        <v>694</v>
      </c>
      <c r="D604" s="12">
        <f>F604*$D$10</f>
        <v>6812.5</v>
      </c>
      <c r="E604" s="12"/>
      <c r="F604" s="39">
        <v>12.5</v>
      </c>
      <c r="G604" s="38">
        <v>10.42</v>
      </c>
      <c r="H604" s="154"/>
    </row>
    <row r="605" spans="1:8" ht="10.5" x14ac:dyDescent="0.2">
      <c r="A605" s="125">
        <v>1458080923</v>
      </c>
      <c r="C605" s="56" t="s">
        <v>734</v>
      </c>
      <c r="D605" s="12">
        <f>F605*$D$10</f>
        <v>6932.4000000000005</v>
      </c>
      <c r="E605" s="12"/>
      <c r="F605" s="44">
        <v>12.72</v>
      </c>
      <c r="G605" s="72">
        <v>10.6</v>
      </c>
      <c r="H605" s="154"/>
    </row>
    <row r="606" spans="1:8" ht="10.5" x14ac:dyDescent="0.2">
      <c r="A606" s="125">
        <v>397</v>
      </c>
      <c r="C606" s="56" t="s">
        <v>238</v>
      </c>
      <c r="D606" s="12">
        <f t="shared" si="39"/>
        <v>6932.4000000000005</v>
      </c>
      <c r="E606" s="12"/>
      <c r="F606" s="44">
        <v>12.72</v>
      </c>
      <c r="G606" s="72">
        <v>10.6</v>
      </c>
      <c r="H606" s="154"/>
    </row>
    <row r="607" spans="1:8" x14ac:dyDescent="0.2">
      <c r="A607" s="124">
        <v>398</v>
      </c>
      <c r="C607" s="56" t="s">
        <v>239</v>
      </c>
      <c r="D607" s="12">
        <f t="shared" si="39"/>
        <v>9810</v>
      </c>
      <c r="E607" s="12"/>
      <c r="F607" s="44">
        <v>18</v>
      </c>
      <c r="G607" s="72">
        <v>13.75</v>
      </c>
    </row>
    <row r="608" spans="1:8" x14ac:dyDescent="0.2">
      <c r="A608" s="125">
        <v>399</v>
      </c>
      <c r="C608" s="60" t="s">
        <v>240</v>
      </c>
      <c r="D608" s="12">
        <f>F608*$D$10</f>
        <v>9810</v>
      </c>
      <c r="E608" s="12"/>
      <c r="F608" s="39">
        <v>18</v>
      </c>
      <c r="G608" s="38">
        <v>13.25</v>
      </c>
    </row>
    <row r="609" spans="1:8" hidden="1" x14ac:dyDescent="0.2">
      <c r="A609" s="125">
        <v>400</v>
      </c>
      <c r="C609" s="70" t="s">
        <v>413</v>
      </c>
      <c r="D609" s="12">
        <f t="shared" si="39"/>
        <v>9810</v>
      </c>
      <c r="E609" s="12"/>
      <c r="F609" s="39">
        <v>18</v>
      </c>
      <c r="G609" s="38">
        <v>13.25</v>
      </c>
    </row>
    <row r="610" spans="1:8" hidden="1" x14ac:dyDescent="0.2">
      <c r="A610" s="125">
        <v>401</v>
      </c>
      <c r="C610" s="60" t="s">
        <v>241</v>
      </c>
      <c r="D610" s="12">
        <f t="shared" si="39"/>
        <v>9810</v>
      </c>
      <c r="E610" s="12"/>
      <c r="F610" s="39">
        <v>18</v>
      </c>
      <c r="G610" s="38">
        <v>13.25</v>
      </c>
    </row>
    <row r="611" spans="1:8" hidden="1" x14ac:dyDescent="0.2">
      <c r="A611" s="124">
        <v>402</v>
      </c>
      <c r="C611" s="60" t="s">
        <v>242</v>
      </c>
      <c r="D611" s="12">
        <f t="shared" si="39"/>
        <v>10464</v>
      </c>
      <c r="E611" s="12"/>
      <c r="F611" s="39">
        <v>19.2</v>
      </c>
      <c r="G611" s="38">
        <v>15</v>
      </c>
    </row>
    <row r="612" spans="1:8" x14ac:dyDescent="0.2">
      <c r="A612" s="125">
        <v>1743160119</v>
      </c>
      <c r="C612" s="86" t="s">
        <v>486</v>
      </c>
      <c r="D612" s="12">
        <f>F612*$D$10</f>
        <v>10464</v>
      </c>
      <c r="E612" s="12"/>
      <c r="F612" s="39">
        <v>19.2</v>
      </c>
      <c r="G612" s="38">
        <v>15</v>
      </c>
    </row>
    <row r="613" spans="1:8" ht="10.5" x14ac:dyDescent="0.2">
      <c r="A613" s="125">
        <v>1502260824</v>
      </c>
      <c r="C613" s="84" t="s">
        <v>756</v>
      </c>
      <c r="D613" s="12">
        <f>F613*$D$10</f>
        <v>10464</v>
      </c>
      <c r="E613" s="12"/>
      <c r="F613" s="39">
        <v>19.2</v>
      </c>
      <c r="G613" s="38">
        <v>15</v>
      </c>
      <c r="H613" s="154"/>
    </row>
    <row r="614" spans="1:8" x14ac:dyDescent="0.2">
      <c r="A614" s="125">
        <v>403</v>
      </c>
      <c r="C614" s="54" t="s">
        <v>243</v>
      </c>
      <c r="D614" s="12">
        <f t="shared" si="39"/>
        <v>10791</v>
      </c>
      <c r="E614" s="12"/>
      <c r="F614" s="39">
        <v>19.8</v>
      </c>
      <c r="G614" s="38">
        <v>15.5</v>
      </c>
    </row>
    <row r="615" spans="1:8" x14ac:dyDescent="0.2">
      <c r="A615" s="125">
        <v>404</v>
      </c>
      <c r="C615" s="54" t="s">
        <v>426</v>
      </c>
      <c r="D615" s="12">
        <f t="shared" si="39"/>
        <v>10791</v>
      </c>
      <c r="E615" s="12"/>
      <c r="F615" s="39">
        <v>19.8</v>
      </c>
      <c r="G615" s="38">
        <v>15.5</v>
      </c>
    </row>
    <row r="616" spans="1:8" x14ac:dyDescent="0.2">
      <c r="A616" s="125">
        <v>405</v>
      </c>
      <c r="C616" s="60" t="s">
        <v>244</v>
      </c>
      <c r="D616" s="12">
        <f t="shared" si="39"/>
        <v>11445</v>
      </c>
      <c r="E616" s="12"/>
      <c r="F616" s="39">
        <v>21</v>
      </c>
      <c r="G616" s="38">
        <v>16.25</v>
      </c>
    </row>
    <row r="617" spans="1:8" hidden="1" x14ac:dyDescent="0.2">
      <c r="A617" s="124">
        <v>406</v>
      </c>
      <c r="C617" s="60" t="s">
        <v>245</v>
      </c>
      <c r="D617" s="12">
        <f t="shared" si="39"/>
        <v>11772</v>
      </c>
      <c r="E617" s="12"/>
      <c r="F617" s="39">
        <v>21.6</v>
      </c>
      <c r="G617" s="38">
        <v>16.5</v>
      </c>
    </row>
    <row r="618" spans="1:8" hidden="1" x14ac:dyDescent="0.2">
      <c r="A618" s="125">
        <v>407</v>
      </c>
      <c r="C618" s="54" t="s">
        <v>246</v>
      </c>
      <c r="D618" s="12">
        <f t="shared" si="39"/>
        <v>11744.75</v>
      </c>
      <c r="E618" s="12"/>
      <c r="F618" s="39">
        <v>21.55</v>
      </c>
      <c r="G618" s="38">
        <v>15.96</v>
      </c>
    </row>
    <row r="619" spans="1:8" ht="10.5" hidden="1" x14ac:dyDescent="0.2">
      <c r="A619" s="125">
        <v>408</v>
      </c>
      <c r="C619" s="109" t="s">
        <v>247</v>
      </c>
      <c r="D619" s="101">
        <f t="shared" si="39"/>
        <v>12317</v>
      </c>
      <c r="E619" s="101"/>
      <c r="F619" s="110">
        <v>22.6</v>
      </c>
      <c r="G619" s="102">
        <v>16.5</v>
      </c>
      <c r="H619" s="154"/>
    </row>
    <row r="620" spans="1:8" ht="10.5" x14ac:dyDescent="0.2">
      <c r="A620" s="125">
        <v>2122200319</v>
      </c>
      <c r="C620" s="54" t="s">
        <v>487</v>
      </c>
      <c r="D620" s="12">
        <f>F620*$D$10</f>
        <v>12317</v>
      </c>
      <c r="E620" s="12"/>
      <c r="F620" s="39">
        <v>22.6</v>
      </c>
      <c r="G620" s="38">
        <v>16.5</v>
      </c>
      <c r="H620" s="154"/>
    </row>
    <row r="621" spans="1:8" ht="20" hidden="1" x14ac:dyDescent="0.2">
      <c r="A621" s="125">
        <v>409</v>
      </c>
      <c r="C621" s="33" t="s">
        <v>248</v>
      </c>
      <c r="D621" s="12">
        <f t="shared" si="39"/>
        <v>13080</v>
      </c>
      <c r="E621" s="12"/>
      <c r="F621" s="39">
        <v>24</v>
      </c>
      <c r="G621" s="38">
        <v>18</v>
      </c>
      <c r="H621" s="154"/>
    </row>
    <row r="622" spans="1:8" ht="10.5" x14ac:dyDescent="0.2">
      <c r="A622" s="125">
        <v>953100119</v>
      </c>
      <c r="C622" s="54" t="s">
        <v>483</v>
      </c>
      <c r="D622" s="12">
        <f t="shared" ref="D622:D629" si="40">F622*$D$10</f>
        <v>12317</v>
      </c>
      <c r="E622" s="12"/>
      <c r="F622" s="39">
        <v>22.6</v>
      </c>
      <c r="G622" s="38">
        <v>16.5</v>
      </c>
      <c r="H622" s="154"/>
    </row>
    <row r="623" spans="1:8" ht="10.5" x14ac:dyDescent="0.2">
      <c r="A623" s="125">
        <v>1736021122</v>
      </c>
      <c r="C623" s="54" t="s">
        <v>693</v>
      </c>
      <c r="D623" s="12">
        <f>F623*$D$10</f>
        <v>12535</v>
      </c>
      <c r="E623" s="12"/>
      <c r="F623" s="39">
        <v>23</v>
      </c>
      <c r="G623" s="38">
        <v>17.93</v>
      </c>
      <c r="H623" s="154"/>
    </row>
    <row r="624" spans="1:8" ht="10.5" x14ac:dyDescent="0.2">
      <c r="A624" s="124">
        <v>410</v>
      </c>
      <c r="C624" s="54" t="s">
        <v>435</v>
      </c>
      <c r="D624" s="12">
        <f t="shared" si="40"/>
        <v>12807.5</v>
      </c>
      <c r="E624" s="12"/>
      <c r="F624" s="39">
        <v>23.5</v>
      </c>
      <c r="G624" s="38">
        <v>16.760000000000002</v>
      </c>
      <c r="H624" s="154"/>
    </row>
    <row r="625" spans="1:8" ht="10.5" x14ac:dyDescent="0.2">
      <c r="A625" s="125">
        <v>411</v>
      </c>
      <c r="C625" s="54" t="s">
        <v>249</v>
      </c>
      <c r="D625" s="12">
        <f t="shared" si="40"/>
        <v>13107.25</v>
      </c>
      <c r="E625" s="12"/>
      <c r="F625" s="39">
        <v>24.05</v>
      </c>
      <c r="G625" s="38">
        <v>17.82</v>
      </c>
      <c r="H625" s="154"/>
    </row>
    <row r="626" spans="1:8" ht="10.5" x14ac:dyDescent="0.2">
      <c r="A626" s="125">
        <v>1418080620</v>
      </c>
      <c r="C626" s="54" t="s">
        <v>540</v>
      </c>
      <c r="D626" s="12">
        <f t="shared" si="40"/>
        <v>14170</v>
      </c>
      <c r="E626" s="12"/>
      <c r="F626" s="39">
        <v>26</v>
      </c>
      <c r="G626" s="38">
        <v>20</v>
      </c>
      <c r="H626" s="154"/>
    </row>
    <row r="627" spans="1:8" ht="10.5" x14ac:dyDescent="0.2">
      <c r="A627" s="125">
        <v>1505021222</v>
      </c>
      <c r="C627" s="54" t="s">
        <v>702</v>
      </c>
      <c r="D627" s="12">
        <f>F627*$D$10</f>
        <v>14322.6</v>
      </c>
      <c r="E627" s="12"/>
      <c r="F627" s="39">
        <v>26.28</v>
      </c>
      <c r="G627" s="38">
        <v>21.02</v>
      </c>
      <c r="H627" s="154"/>
    </row>
    <row r="628" spans="1:8" ht="10.5" x14ac:dyDescent="0.2">
      <c r="A628" s="125">
        <v>120120221753</v>
      </c>
      <c r="C628" s="54" t="s">
        <v>586</v>
      </c>
      <c r="D628" s="12">
        <f t="shared" si="40"/>
        <v>16241</v>
      </c>
      <c r="E628" s="12"/>
      <c r="F628" s="39">
        <v>29.8</v>
      </c>
      <c r="G628" s="38">
        <v>24.84</v>
      </c>
      <c r="H628" s="154"/>
    </row>
    <row r="629" spans="1:8" ht="10.5" hidden="1" x14ac:dyDescent="0.2">
      <c r="A629" s="125">
        <v>412</v>
      </c>
      <c r="C629" s="85" t="s">
        <v>489</v>
      </c>
      <c r="D629" s="12">
        <f t="shared" si="40"/>
        <v>17031.25</v>
      </c>
      <c r="E629" s="12"/>
      <c r="F629" s="39">
        <v>31.25</v>
      </c>
      <c r="G629" s="38">
        <v>25</v>
      </c>
      <c r="H629" s="154"/>
    </row>
    <row r="630" spans="1:8" ht="10.5" x14ac:dyDescent="0.2">
      <c r="A630" s="125">
        <v>1511110723</v>
      </c>
      <c r="C630" s="84" t="s">
        <v>728</v>
      </c>
      <c r="D630" s="12">
        <f>F630*$D$10</f>
        <v>17004</v>
      </c>
      <c r="E630" s="12"/>
      <c r="F630" s="39">
        <v>31.2</v>
      </c>
      <c r="G630" s="38">
        <v>26</v>
      </c>
      <c r="H630" s="154"/>
    </row>
    <row r="631" spans="1:8" ht="14" x14ac:dyDescent="0.2">
      <c r="A631" s="125">
        <v>413</v>
      </c>
      <c r="C631" s="197" t="s">
        <v>522</v>
      </c>
      <c r="D631" s="190"/>
      <c r="E631" s="190"/>
      <c r="F631" s="190"/>
      <c r="G631" s="191"/>
    </row>
    <row r="632" spans="1:8" x14ac:dyDescent="0.2">
      <c r="A632" s="124">
        <v>414</v>
      </c>
      <c r="C632" s="54" t="s">
        <v>250</v>
      </c>
      <c r="D632" s="12">
        <f>F632*$D$10</f>
        <v>24252.5</v>
      </c>
      <c r="E632" s="12"/>
      <c r="F632" s="39">
        <v>44.5</v>
      </c>
      <c r="G632" s="83">
        <v>40.454545454545453</v>
      </c>
    </row>
    <row r="633" spans="1:8" x14ac:dyDescent="0.2">
      <c r="A633" s="125">
        <v>415</v>
      </c>
      <c r="C633" s="54" t="s">
        <v>251</v>
      </c>
      <c r="D633" s="12">
        <f t="shared" ref="D633:D648" si="41">F633*$D$10</f>
        <v>27795</v>
      </c>
      <c r="E633" s="12"/>
      <c r="F633" s="39">
        <v>51</v>
      </c>
      <c r="G633" s="83">
        <v>46.36363636363636</v>
      </c>
    </row>
    <row r="634" spans="1:8" x14ac:dyDescent="0.2">
      <c r="A634" s="125">
        <v>416</v>
      </c>
      <c r="C634" s="54" t="s">
        <v>252</v>
      </c>
      <c r="D634" s="12">
        <f t="shared" si="41"/>
        <v>31964.25</v>
      </c>
      <c r="E634" s="12"/>
      <c r="F634" s="39">
        <v>58.65</v>
      </c>
      <c r="G634" s="83">
        <v>53.31</v>
      </c>
    </row>
    <row r="635" spans="1:8" x14ac:dyDescent="0.2">
      <c r="A635" s="125">
        <v>417</v>
      </c>
      <c r="C635" s="54" t="s">
        <v>253</v>
      </c>
      <c r="D635" s="12">
        <f t="shared" si="41"/>
        <v>45098.75</v>
      </c>
      <c r="E635" s="12"/>
      <c r="F635" s="39">
        <v>82.75</v>
      </c>
      <c r="G635" s="83">
        <v>75.22727272727272</v>
      </c>
    </row>
    <row r="636" spans="1:8" hidden="1" x14ac:dyDescent="0.2">
      <c r="A636" s="124">
        <v>418</v>
      </c>
      <c r="C636" s="33" t="s">
        <v>254</v>
      </c>
      <c r="D636" s="12">
        <f t="shared" si="41"/>
        <v>60495</v>
      </c>
      <c r="E636" s="12"/>
      <c r="F636" s="39">
        <v>111</v>
      </c>
      <c r="G636" s="83">
        <v>100.90909090909091</v>
      </c>
    </row>
    <row r="637" spans="1:8" x14ac:dyDescent="0.2">
      <c r="A637" s="125">
        <v>419</v>
      </c>
      <c r="C637" s="54" t="s">
        <v>255</v>
      </c>
      <c r="D637" s="12">
        <f t="shared" si="41"/>
        <v>72212.5</v>
      </c>
      <c r="E637" s="12"/>
      <c r="F637" s="39">
        <v>132.5</v>
      </c>
      <c r="G637" s="83">
        <v>120.45454545454544</v>
      </c>
    </row>
    <row r="638" spans="1:8" x14ac:dyDescent="0.2">
      <c r="A638" s="125">
        <v>420</v>
      </c>
      <c r="C638" s="54" t="s">
        <v>256</v>
      </c>
      <c r="D638" s="12">
        <f t="shared" si="41"/>
        <v>79161.25</v>
      </c>
      <c r="E638" s="12"/>
      <c r="F638" s="39">
        <v>145.25</v>
      </c>
      <c r="G638" s="83">
        <v>132.04545454545453</v>
      </c>
    </row>
    <row r="639" spans="1:8" x14ac:dyDescent="0.2">
      <c r="A639" s="125">
        <v>421</v>
      </c>
      <c r="C639" s="54" t="s">
        <v>257</v>
      </c>
      <c r="D639" s="12">
        <f t="shared" si="41"/>
        <v>97282.5</v>
      </c>
      <c r="E639" s="12"/>
      <c r="F639" s="39">
        <v>178.5</v>
      </c>
      <c r="G639" s="83">
        <v>162.27272727272725</v>
      </c>
    </row>
    <row r="640" spans="1:8" x14ac:dyDescent="0.2">
      <c r="A640" s="124">
        <v>422</v>
      </c>
      <c r="C640" s="54" t="s">
        <v>258</v>
      </c>
      <c r="D640" s="12">
        <f t="shared" si="41"/>
        <v>102596.25</v>
      </c>
      <c r="E640" s="12"/>
      <c r="F640" s="39">
        <v>188.25</v>
      </c>
      <c r="G640" s="83">
        <v>171.13636363636363</v>
      </c>
    </row>
    <row r="641" spans="1:7" x14ac:dyDescent="0.2">
      <c r="A641" s="125">
        <v>423</v>
      </c>
      <c r="C641" s="54" t="s">
        <v>259</v>
      </c>
      <c r="D641" s="12">
        <f t="shared" si="41"/>
        <v>102596.25</v>
      </c>
      <c r="E641" s="12"/>
      <c r="F641" s="39">
        <v>188.25</v>
      </c>
      <c r="G641" s="83">
        <v>171.13636363636363</v>
      </c>
    </row>
    <row r="642" spans="1:7" x14ac:dyDescent="0.2">
      <c r="A642" s="125">
        <v>424</v>
      </c>
      <c r="C642" s="54" t="s">
        <v>261</v>
      </c>
      <c r="D642" s="12">
        <f>F642*$D$10</f>
        <v>106820</v>
      </c>
      <c r="E642" s="12"/>
      <c r="F642" s="39">
        <v>196</v>
      </c>
      <c r="G642" s="83">
        <v>178.18181818181816</v>
      </c>
    </row>
    <row r="643" spans="1:7" ht="11.25" hidden="1" customHeight="1" x14ac:dyDescent="0.2">
      <c r="A643" s="125">
        <v>425</v>
      </c>
      <c r="C643" s="54" t="s">
        <v>260</v>
      </c>
      <c r="D643" s="12">
        <f t="shared" si="41"/>
        <v>165135</v>
      </c>
      <c r="E643" s="12"/>
      <c r="F643" s="39">
        <v>303</v>
      </c>
      <c r="G643" s="83">
        <v>275.45454545454544</v>
      </c>
    </row>
    <row r="644" spans="1:7" x14ac:dyDescent="0.2">
      <c r="A644" s="124">
        <v>426</v>
      </c>
      <c r="C644" s="54" t="s">
        <v>262</v>
      </c>
      <c r="D644" s="12">
        <f t="shared" si="41"/>
        <v>183937.5</v>
      </c>
      <c r="E644" s="12"/>
      <c r="F644" s="39">
        <v>337.5</v>
      </c>
      <c r="G644" s="83">
        <v>306.81818181818181</v>
      </c>
    </row>
    <row r="645" spans="1:7" x14ac:dyDescent="0.2">
      <c r="A645" s="125">
        <v>427</v>
      </c>
      <c r="C645" s="54" t="s">
        <v>263</v>
      </c>
      <c r="D645" s="12">
        <f t="shared" si="41"/>
        <v>290621.25</v>
      </c>
      <c r="E645" s="12"/>
      <c r="F645" s="39">
        <v>533.25</v>
      </c>
      <c r="G645" s="83">
        <v>484.77272727272725</v>
      </c>
    </row>
    <row r="646" spans="1:7" hidden="1" x14ac:dyDescent="0.2">
      <c r="A646" s="125">
        <v>428</v>
      </c>
      <c r="C646" s="54" t="s">
        <v>264</v>
      </c>
      <c r="D646" s="12">
        <f t="shared" si="41"/>
        <v>229581.25</v>
      </c>
      <c r="E646" s="12">
        <f t="shared" ref="E632:E647" si="42">G646*$F$10</f>
        <v>208710.22727272726</v>
      </c>
      <c r="F646" s="39">
        <v>421.25</v>
      </c>
      <c r="G646" s="83">
        <v>382.95454545454544</v>
      </c>
    </row>
    <row r="647" spans="1:7" hidden="1" x14ac:dyDescent="0.2">
      <c r="A647" s="125">
        <v>429</v>
      </c>
      <c r="C647" s="54" t="s">
        <v>265</v>
      </c>
      <c r="D647" s="12">
        <f t="shared" si="41"/>
        <v>292665</v>
      </c>
      <c r="E647" s="12">
        <f t="shared" si="42"/>
        <v>266059.09090909088</v>
      </c>
      <c r="F647" s="39">
        <v>537</v>
      </c>
      <c r="G647" s="83">
        <v>488.18181818181813</v>
      </c>
    </row>
    <row r="648" spans="1:7" hidden="1" x14ac:dyDescent="0.2">
      <c r="A648" s="124">
        <v>430</v>
      </c>
      <c r="C648" s="10" t="s">
        <v>266</v>
      </c>
      <c r="D648" s="12">
        <f t="shared" si="41"/>
        <v>337627.5</v>
      </c>
      <c r="E648" s="12">
        <f>G648*$D$10</f>
        <v>281356.25</v>
      </c>
      <c r="F648" s="39">
        <v>619.5</v>
      </c>
      <c r="G648" s="38">
        <v>516.25</v>
      </c>
    </row>
    <row r="649" spans="1:7" ht="14" x14ac:dyDescent="0.2">
      <c r="A649" s="125">
        <v>431</v>
      </c>
      <c r="C649" s="197" t="s">
        <v>523</v>
      </c>
      <c r="D649" s="190"/>
      <c r="E649" s="190"/>
      <c r="F649" s="190"/>
      <c r="G649" s="191"/>
    </row>
    <row r="650" spans="1:7" ht="14.25" customHeight="1" x14ac:dyDescent="0.2">
      <c r="A650" s="125">
        <v>448</v>
      </c>
      <c r="C650" s="56" t="s">
        <v>277</v>
      </c>
      <c r="D650" s="12">
        <f>F650*$D$10</f>
        <v>3924</v>
      </c>
      <c r="E650" s="12"/>
      <c r="F650" s="45">
        <v>7.2</v>
      </c>
      <c r="G650" s="38">
        <v>4.75</v>
      </c>
    </row>
    <row r="651" spans="1:7" x14ac:dyDescent="0.2">
      <c r="A651" s="125">
        <v>432</v>
      </c>
      <c r="C651" s="58" t="s">
        <v>267</v>
      </c>
      <c r="D651" s="12">
        <f t="shared" ref="D651:D667" si="43">F651*$D$10</f>
        <v>6131.25</v>
      </c>
      <c r="E651" s="12"/>
      <c r="F651" s="41">
        <v>11.25</v>
      </c>
      <c r="G651" s="67">
        <v>9</v>
      </c>
    </row>
    <row r="652" spans="1:7" x14ac:dyDescent="0.2">
      <c r="A652" s="125">
        <v>433</v>
      </c>
      <c r="C652" s="58" t="s">
        <v>268</v>
      </c>
      <c r="D652" s="12">
        <f t="shared" si="43"/>
        <v>7848</v>
      </c>
      <c r="E652" s="12"/>
      <c r="F652" s="41">
        <v>14.4</v>
      </c>
      <c r="G652" s="67">
        <v>11.475</v>
      </c>
    </row>
    <row r="653" spans="1:7" x14ac:dyDescent="0.2">
      <c r="A653" s="124">
        <v>434</v>
      </c>
      <c r="C653" s="58" t="s">
        <v>269</v>
      </c>
      <c r="D653" s="12">
        <f t="shared" si="43"/>
        <v>9810</v>
      </c>
      <c r="E653" s="12"/>
      <c r="F653" s="41">
        <v>18</v>
      </c>
      <c r="G653" s="67">
        <v>14.4</v>
      </c>
    </row>
    <row r="654" spans="1:7" x14ac:dyDescent="0.2">
      <c r="A654" s="125">
        <v>435</v>
      </c>
      <c r="C654" s="58" t="s">
        <v>270</v>
      </c>
      <c r="D654" s="12">
        <f t="shared" si="43"/>
        <v>9810</v>
      </c>
      <c r="E654" s="12"/>
      <c r="F654" s="41">
        <v>18</v>
      </c>
      <c r="G654" s="67">
        <v>14.4</v>
      </c>
    </row>
    <row r="655" spans="1:7" x14ac:dyDescent="0.2">
      <c r="A655" s="125">
        <v>436</v>
      </c>
      <c r="C655" s="58" t="s">
        <v>271</v>
      </c>
      <c r="D655" s="12">
        <f t="shared" si="43"/>
        <v>10791</v>
      </c>
      <c r="E655" s="12"/>
      <c r="F655" s="41">
        <v>19.8</v>
      </c>
      <c r="G655" s="67">
        <v>15.75</v>
      </c>
    </row>
    <row r="656" spans="1:7" x14ac:dyDescent="0.2">
      <c r="A656" s="125">
        <v>437</v>
      </c>
      <c r="C656" s="58" t="s">
        <v>272</v>
      </c>
      <c r="D656" s="12">
        <f t="shared" si="43"/>
        <v>12998.25</v>
      </c>
      <c r="E656" s="12"/>
      <c r="F656" s="41">
        <v>23.85</v>
      </c>
      <c r="G656" s="67">
        <v>18.900000000000002</v>
      </c>
    </row>
    <row r="657" spans="1:8" x14ac:dyDescent="0.2">
      <c r="A657" s="124">
        <v>438</v>
      </c>
      <c r="C657" s="58" t="s">
        <v>273</v>
      </c>
      <c r="D657" s="12">
        <f t="shared" si="43"/>
        <v>18884.25</v>
      </c>
      <c r="E657" s="12"/>
      <c r="F657" s="41">
        <v>34.65</v>
      </c>
      <c r="G657" s="67">
        <v>27.675000000000001</v>
      </c>
    </row>
    <row r="658" spans="1:8" x14ac:dyDescent="0.2">
      <c r="A658" s="125">
        <v>439</v>
      </c>
      <c r="C658" s="58" t="s">
        <v>274</v>
      </c>
      <c r="D658" s="12">
        <f t="shared" si="43"/>
        <v>21336.75</v>
      </c>
      <c r="E658" s="12"/>
      <c r="F658" s="41">
        <v>39.15</v>
      </c>
      <c r="G658" s="67">
        <v>31.275000000000002</v>
      </c>
    </row>
    <row r="659" spans="1:8" x14ac:dyDescent="0.2">
      <c r="A659" s="125">
        <v>440</v>
      </c>
      <c r="C659" s="58" t="s">
        <v>275</v>
      </c>
      <c r="D659" s="12">
        <f t="shared" si="43"/>
        <v>23053.500000000004</v>
      </c>
      <c r="E659" s="12"/>
      <c r="F659" s="41">
        <v>42.300000000000004</v>
      </c>
      <c r="G659" s="67">
        <v>33.75</v>
      </c>
    </row>
    <row r="660" spans="1:8" x14ac:dyDescent="0.2">
      <c r="A660" s="125">
        <v>441</v>
      </c>
      <c r="C660" s="70" t="s">
        <v>276</v>
      </c>
      <c r="D660" s="12">
        <f t="shared" si="43"/>
        <v>24525</v>
      </c>
      <c r="E660" s="12"/>
      <c r="F660" s="41">
        <v>45</v>
      </c>
      <c r="G660" s="67">
        <v>36</v>
      </c>
    </row>
    <row r="661" spans="1:8" x14ac:dyDescent="0.2">
      <c r="A661" s="124">
        <v>442</v>
      </c>
      <c r="C661" s="85" t="s">
        <v>417</v>
      </c>
      <c r="D661" s="12">
        <f t="shared" si="43"/>
        <v>37114.5</v>
      </c>
      <c r="E661" s="12"/>
      <c r="F661" s="41">
        <v>68.099999999999994</v>
      </c>
      <c r="G661" s="67">
        <v>56.75</v>
      </c>
    </row>
    <row r="662" spans="1:8" hidden="1" x14ac:dyDescent="0.2">
      <c r="A662" s="125">
        <v>443</v>
      </c>
      <c r="C662" s="84" t="s">
        <v>416</v>
      </c>
      <c r="D662" s="12">
        <f t="shared" si="43"/>
        <v>57770</v>
      </c>
      <c r="E662" s="12"/>
      <c r="F662" s="88">
        <v>106</v>
      </c>
      <c r="G662" s="89">
        <v>88.3</v>
      </c>
    </row>
    <row r="663" spans="1:8" x14ac:dyDescent="0.2">
      <c r="A663" s="125">
        <v>444</v>
      </c>
      <c r="C663" s="56" t="s">
        <v>469</v>
      </c>
      <c r="D663" s="12">
        <f t="shared" si="43"/>
        <v>41856</v>
      </c>
      <c r="E663" s="12"/>
      <c r="F663" s="45">
        <v>76.8</v>
      </c>
      <c r="G663" s="38">
        <v>61.25</v>
      </c>
    </row>
    <row r="664" spans="1:8" x14ac:dyDescent="0.2">
      <c r="A664" s="125">
        <v>81020181531</v>
      </c>
      <c r="C664" s="56" t="s">
        <v>470</v>
      </c>
      <c r="D664" s="12">
        <f t="shared" si="43"/>
        <v>45616.5</v>
      </c>
      <c r="E664" s="12"/>
      <c r="F664" s="45">
        <v>83.7</v>
      </c>
      <c r="G664" s="38">
        <v>69.739999999999995</v>
      </c>
    </row>
    <row r="665" spans="1:8" ht="10.5" x14ac:dyDescent="0.2">
      <c r="A665" s="125">
        <v>445</v>
      </c>
      <c r="C665" s="56" t="s">
        <v>471</v>
      </c>
      <c r="D665" s="12">
        <f t="shared" si="43"/>
        <v>62320.75</v>
      </c>
      <c r="E665" s="12"/>
      <c r="F665" s="45">
        <v>114.35</v>
      </c>
      <c r="G665" s="38">
        <v>95.3</v>
      </c>
      <c r="H665" s="154"/>
    </row>
    <row r="666" spans="1:8" hidden="1" x14ac:dyDescent="0.2">
      <c r="A666" s="124">
        <v>446</v>
      </c>
      <c r="C666" s="56" t="s">
        <v>472</v>
      </c>
      <c r="D666" s="12">
        <f t="shared" si="43"/>
        <v>107256</v>
      </c>
      <c r="E666" s="12">
        <f t="shared" ref="E651:E667" si="44">G666*$F$10</f>
        <v>93467.5</v>
      </c>
      <c r="F666" s="45">
        <v>196.8</v>
      </c>
      <c r="G666" s="38">
        <v>171.5</v>
      </c>
    </row>
    <row r="667" spans="1:8" hidden="1" x14ac:dyDescent="0.2">
      <c r="A667" s="125">
        <v>447</v>
      </c>
      <c r="C667" s="56" t="s">
        <v>473</v>
      </c>
      <c r="D667" s="12">
        <f t="shared" si="43"/>
        <v>142899</v>
      </c>
      <c r="E667" s="12">
        <f t="shared" si="44"/>
        <v>124260</v>
      </c>
      <c r="F667" s="45">
        <v>262.2</v>
      </c>
      <c r="G667" s="38">
        <v>228</v>
      </c>
    </row>
    <row r="668" spans="1:8" ht="14" x14ac:dyDescent="0.2">
      <c r="A668" s="125">
        <v>449</v>
      </c>
      <c r="C668" s="197" t="s">
        <v>524</v>
      </c>
      <c r="D668" s="190"/>
      <c r="E668" s="190"/>
      <c r="F668" s="190"/>
      <c r="G668" s="191"/>
    </row>
    <row r="669" spans="1:8" ht="10.5" x14ac:dyDescent="0.2">
      <c r="A669" s="124">
        <v>450</v>
      </c>
      <c r="C669" s="56" t="s">
        <v>646</v>
      </c>
      <c r="D669" s="12">
        <f>F669*$D$10</f>
        <v>14028.3</v>
      </c>
      <c r="E669" s="12"/>
      <c r="F669" s="45">
        <v>25.74</v>
      </c>
      <c r="G669" s="38">
        <v>21.45</v>
      </c>
      <c r="H669" s="154"/>
    </row>
    <row r="670" spans="1:8" ht="10.5" x14ac:dyDescent="0.2">
      <c r="A670" s="125">
        <v>451</v>
      </c>
      <c r="C670" s="56" t="s">
        <v>647</v>
      </c>
      <c r="D670" s="12">
        <f t="shared" ref="D670:D677" si="45">F670*$D$10</f>
        <v>19554.600000000002</v>
      </c>
      <c r="E670" s="12"/>
      <c r="F670" s="45">
        <v>35.880000000000003</v>
      </c>
      <c r="G670" s="38">
        <v>29.9</v>
      </c>
      <c r="H670" s="154"/>
    </row>
    <row r="671" spans="1:8" ht="10.5" x14ac:dyDescent="0.2">
      <c r="A671" s="125">
        <v>452</v>
      </c>
      <c r="C671" s="56" t="s">
        <v>648</v>
      </c>
      <c r="D671" s="12">
        <f t="shared" si="45"/>
        <v>26160</v>
      </c>
      <c r="E671" s="12"/>
      <c r="F671" s="45">
        <v>48</v>
      </c>
      <c r="G671" s="38">
        <v>38.25</v>
      </c>
      <c r="H671" s="154"/>
    </row>
    <row r="672" spans="1:8" ht="10.5" x14ac:dyDescent="0.2">
      <c r="A672" s="125">
        <v>453</v>
      </c>
      <c r="C672" s="56" t="s">
        <v>649</v>
      </c>
      <c r="D672" s="12">
        <f t="shared" si="45"/>
        <v>38051.899999999994</v>
      </c>
      <c r="E672" s="12"/>
      <c r="F672" s="45">
        <v>69.819999999999993</v>
      </c>
      <c r="G672" s="38">
        <v>58.17</v>
      </c>
      <c r="H672" s="154"/>
    </row>
    <row r="673" spans="1:8" ht="10.5" x14ac:dyDescent="0.2">
      <c r="A673" s="124">
        <v>454</v>
      </c>
      <c r="C673" s="56" t="s">
        <v>650</v>
      </c>
      <c r="D673" s="12">
        <f t="shared" si="45"/>
        <v>36564.050000000003</v>
      </c>
      <c r="E673" s="12"/>
      <c r="F673" s="45">
        <v>67.09</v>
      </c>
      <c r="G673" s="38">
        <v>55.91</v>
      </c>
      <c r="H673" s="154"/>
    </row>
    <row r="674" spans="1:8" x14ac:dyDescent="0.2">
      <c r="A674" s="125">
        <v>455</v>
      </c>
      <c r="C674" s="57" t="s">
        <v>651</v>
      </c>
      <c r="D674" s="12">
        <f t="shared" si="45"/>
        <v>49704</v>
      </c>
      <c r="E674" s="12"/>
      <c r="F674" s="45">
        <v>91.2</v>
      </c>
      <c r="G674" s="38">
        <v>72.5</v>
      </c>
    </row>
    <row r="675" spans="1:8" x14ac:dyDescent="0.2">
      <c r="A675" s="125">
        <v>456</v>
      </c>
      <c r="C675" s="57" t="s">
        <v>652</v>
      </c>
      <c r="D675" s="12">
        <f t="shared" si="45"/>
        <v>63438</v>
      </c>
      <c r="E675" s="12"/>
      <c r="F675" s="45">
        <v>116.4</v>
      </c>
      <c r="G675" s="38">
        <v>93</v>
      </c>
    </row>
    <row r="676" spans="1:8" x14ac:dyDescent="0.2">
      <c r="A676" s="125">
        <v>457</v>
      </c>
      <c r="C676" s="57" t="s">
        <v>653</v>
      </c>
      <c r="D676" s="12">
        <f t="shared" si="45"/>
        <v>97773</v>
      </c>
      <c r="E676" s="12"/>
      <c r="F676" s="45">
        <v>179.4</v>
      </c>
      <c r="G676" s="38">
        <v>148.75</v>
      </c>
    </row>
    <row r="677" spans="1:8" hidden="1" x14ac:dyDescent="0.2">
      <c r="A677" s="124">
        <v>458</v>
      </c>
      <c r="C677" s="57" t="s">
        <v>654</v>
      </c>
      <c r="D677" s="12">
        <f t="shared" si="45"/>
        <v>118701</v>
      </c>
      <c r="E677" s="12">
        <f t="shared" ref="E669:E677" si="46">G677*$F$10</f>
        <v>103277.5</v>
      </c>
      <c r="F677" s="45">
        <v>217.8</v>
      </c>
      <c r="G677" s="38">
        <v>189.5</v>
      </c>
    </row>
    <row r="678" spans="1:8" ht="14" x14ac:dyDescent="0.2">
      <c r="A678" s="125">
        <v>449</v>
      </c>
      <c r="C678" s="197" t="s">
        <v>525</v>
      </c>
      <c r="D678" s="190"/>
      <c r="E678" s="190"/>
      <c r="F678" s="190"/>
      <c r="G678" s="191"/>
    </row>
    <row r="679" spans="1:8" ht="10.5" x14ac:dyDescent="0.2">
      <c r="A679" s="124">
        <v>1644030119</v>
      </c>
      <c r="C679" s="54" t="s">
        <v>482</v>
      </c>
      <c r="D679" s="12">
        <f t="shared" ref="D679:D689" si="47">F679*$D$10</f>
        <v>9183.25</v>
      </c>
      <c r="E679" s="12"/>
      <c r="F679" s="45">
        <v>16.850000000000001</v>
      </c>
      <c r="G679" s="38">
        <v>13.48</v>
      </c>
      <c r="H679" s="154"/>
    </row>
    <row r="680" spans="1:8" ht="10.5" x14ac:dyDescent="0.2">
      <c r="A680" s="125">
        <v>1645030119</v>
      </c>
      <c r="C680" s="85" t="s">
        <v>655</v>
      </c>
      <c r="D680" s="12">
        <f t="shared" si="47"/>
        <v>25729.45</v>
      </c>
      <c r="E680" s="12"/>
      <c r="F680" s="45">
        <v>47.21</v>
      </c>
      <c r="G680" s="38">
        <v>39.35</v>
      </c>
      <c r="H680" s="154"/>
    </row>
    <row r="681" spans="1:8" ht="10.5" x14ac:dyDescent="0.2">
      <c r="A681" s="125">
        <v>1646030119</v>
      </c>
      <c r="C681" s="85" t="s">
        <v>656</v>
      </c>
      <c r="D681" s="12">
        <f t="shared" si="47"/>
        <v>33261.35</v>
      </c>
      <c r="E681" s="12"/>
      <c r="F681" s="45">
        <v>61.03</v>
      </c>
      <c r="G681" s="38">
        <v>50.86</v>
      </c>
      <c r="H681" s="154"/>
    </row>
    <row r="682" spans="1:8" ht="10.5" x14ac:dyDescent="0.2">
      <c r="A682" s="125">
        <v>1317011020</v>
      </c>
      <c r="C682" s="84" t="s">
        <v>657</v>
      </c>
      <c r="D682" s="12">
        <f t="shared" si="47"/>
        <v>33261.35</v>
      </c>
      <c r="E682" s="12"/>
      <c r="F682" s="45">
        <v>61.03</v>
      </c>
      <c r="G682" s="38">
        <v>50.86</v>
      </c>
      <c r="H682" s="154"/>
    </row>
    <row r="683" spans="1:8" ht="10.5" x14ac:dyDescent="0.2">
      <c r="A683" s="125">
        <v>1647030119</v>
      </c>
      <c r="C683" s="85" t="s">
        <v>658</v>
      </c>
      <c r="D683" s="12">
        <f>F683*$D$10</f>
        <v>56096.850000000006</v>
      </c>
      <c r="E683" s="12"/>
      <c r="F683" s="45">
        <v>102.93</v>
      </c>
      <c r="G683" s="38">
        <v>85.77</v>
      </c>
      <c r="H683" s="154"/>
    </row>
    <row r="684" spans="1:8" ht="10.5" x14ac:dyDescent="0.2">
      <c r="A684" s="125">
        <v>2108201050</v>
      </c>
      <c r="C684" s="84" t="s">
        <v>659</v>
      </c>
      <c r="D684" s="12">
        <f t="shared" si="47"/>
        <v>56096.850000000006</v>
      </c>
      <c r="E684" s="12"/>
      <c r="F684" s="45">
        <v>102.93</v>
      </c>
      <c r="G684" s="38">
        <v>85.77</v>
      </c>
      <c r="H684" s="154"/>
    </row>
    <row r="685" spans="1:8" ht="10.5" x14ac:dyDescent="0.2">
      <c r="A685" s="125">
        <v>1648030119</v>
      </c>
      <c r="C685" s="85" t="s">
        <v>660</v>
      </c>
      <c r="D685" s="12">
        <f t="shared" si="47"/>
        <v>100979.56051516515</v>
      </c>
      <c r="E685" s="12"/>
      <c r="F685" s="45">
        <v>185.2835972755324</v>
      </c>
      <c r="G685" s="38">
        <v>154.40299772961035</v>
      </c>
      <c r="H685" s="154"/>
    </row>
    <row r="686" spans="1:8" ht="10.5" x14ac:dyDescent="0.2">
      <c r="A686" s="124">
        <v>1649030119</v>
      </c>
      <c r="C686" s="85" t="s">
        <v>661</v>
      </c>
      <c r="D686" s="12">
        <f t="shared" si="47"/>
        <v>270984.90000000002</v>
      </c>
      <c r="E686" s="12"/>
      <c r="F686" s="45">
        <v>497.22</v>
      </c>
      <c r="G686" s="38">
        <v>432.37</v>
      </c>
      <c r="H686" s="154"/>
    </row>
    <row r="687" spans="1:8" ht="10.5" x14ac:dyDescent="0.2">
      <c r="A687" s="125">
        <v>2108201051</v>
      </c>
      <c r="C687" s="84" t="s">
        <v>662</v>
      </c>
      <c r="D687" s="12">
        <f>F687*$D$10</f>
        <v>270984.90000000002</v>
      </c>
      <c r="E687" s="12"/>
      <c r="F687" s="45">
        <v>497.22</v>
      </c>
      <c r="G687" s="38">
        <v>432.37</v>
      </c>
      <c r="H687" s="154"/>
    </row>
    <row r="688" spans="1:8" ht="10.5" x14ac:dyDescent="0.2">
      <c r="A688" s="125">
        <v>1650030119</v>
      </c>
      <c r="C688" s="85" t="s">
        <v>663</v>
      </c>
      <c r="D688" s="12">
        <f>F688*$D$10</f>
        <v>314377.8</v>
      </c>
      <c r="E688" s="12"/>
      <c r="F688" s="45">
        <v>576.84</v>
      </c>
      <c r="G688" s="38">
        <v>501.6</v>
      </c>
      <c r="H688" s="154"/>
    </row>
    <row r="689" spans="1:10" ht="10.5" x14ac:dyDescent="0.2">
      <c r="A689" s="125">
        <v>2108201052</v>
      </c>
      <c r="C689" s="84" t="s">
        <v>664</v>
      </c>
      <c r="D689" s="12">
        <f t="shared" si="47"/>
        <v>314377.8</v>
      </c>
      <c r="E689" s="12"/>
      <c r="F689" s="45">
        <v>576.84</v>
      </c>
      <c r="G689" s="38">
        <v>501.6</v>
      </c>
      <c r="H689" s="154"/>
    </row>
    <row r="690" spans="1:10" ht="14" x14ac:dyDescent="0.2">
      <c r="A690" s="125">
        <v>459</v>
      </c>
      <c r="C690" s="197" t="s">
        <v>526</v>
      </c>
      <c r="D690" s="190"/>
      <c r="E690" s="190"/>
      <c r="F690" s="190"/>
      <c r="G690" s="191"/>
    </row>
    <row r="691" spans="1:10" ht="10.5" x14ac:dyDescent="0.2">
      <c r="A691" s="125">
        <v>460</v>
      </c>
      <c r="C691" s="56" t="s">
        <v>278</v>
      </c>
      <c r="D691" s="12">
        <f>F691*$D$10</f>
        <v>5760.6500000000005</v>
      </c>
      <c r="E691" s="12"/>
      <c r="F691" s="45">
        <v>10.57</v>
      </c>
      <c r="G691" s="38">
        <v>8.4499999999999993</v>
      </c>
      <c r="H691" s="154"/>
    </row>
    <row r="692" spans="1:10" ht="10.5" x14ac:dyDescent="0.2">
      <c r="A692" s="125">
        <v>461</v>
      </c>
      <c r="C692" s="97" t="s">
        <v>279</v>
      </c>
      <c r="D692" s="95">
        <f>F692*$D$10</f>
        <v>6698.0499999999993</v>
      </c>
      <c r="E692" s="95"/>
      <c r="F692" s="98">
        <v>12.29</v>
      </c>
      <c r="G692" s="96">
        <v>9.4499999999999993</v>
      </c>
      <c r="H692" s="154"/>
      <c r="I692" s="134"/>
      <c r="J692" s="134"/>
    </row>
    <row r="693" spans="1:10" ht="10.5" x14ac:dyDescent="0.2">
      <c r="A693" s="124">
        <v>462</v>
      </c>
      <c r="C693" s="97" t="s">
        <v>280</v>
      </c>
      <c r="D693" s="95">
        <f>F693*$D$10</f>
        <v>6561.7999999999993</v>
      </c>
      <c r="E693" s="95"/>
      <c r="F693" s="98">
        <v>12.04</v>
      </c>
      <c r="G693" s="96">
        <v>9.6300000000000008</v>
      </c>
      <c r="H693" s="154"/>
      <c r="I693" s="134"/>
      <c r="J693" s="134"/>
    </row>
    <row r="694" spans="1:10" ht="10.5" x14ac:dyDescent="0.2">
      <c r="A694" s="124">
        <v>1444090322</v>
      </c>
      <c r="C694" s="85" t="s">
        <v>588</v>
      </c>
      <c r="D694" s="95">
        <f>F694*$D$10</f>
        <v>7902.5</v>
      </c>
      <c r="E694" s="95"/>
      <c r="F694" s="98">
        <v>14.5</v>
      </c>
      <c r="G694" s="96">
        <v>11.6</v>
      </c>
      <c r="H694" s="154"/>
      <c r="I694" s="134"/>
      <c r="J694" s="134"/>
    </row>
    <row r="695" spans="1:10" ht="10.5" x14ac:dyDescent="0.2">
      <c r="A695" s="124">
        <v>1445090322</v>
      </c>
      <c r="C695" s="85" t="s">
        <v>589</v>
      </c>
      <c r="D695" s="95">
        <f>F695*$D$10</f>
        <v>7902.5</v>
      </c>
      <c r="E695" s="95"/>
      <c r="F695" s="98">
        <v>14.5</v>
      </c>
      <c r="G695" s="96">
        <v>11.6</v>
      </c>
      <c r="H695" s="154"/>
      <c r="I695" s="134"/>
      <c r="J695" s="134"/>
    </row>
    <row r="696" spans="1:10" ht="14" x14ac:dyDescent="0.2">
      <c r="A696" s="125">
        <v>463</v>
      </c>
      <c r="C696" s="197" t="s">
        <v>527</v>
      </c>
      <c r="D696" s="190"/>
      <c r="E696" s="190"/>
      <c r="F696" s="190"/>
      <c r="G696" s="191"/>
    </row>
    <row r="697" spans="1:10" x14ac:dyDescent="0.2">
      <c r="A697" s="125">
        <v>464</v>
      </c>
      <c r="C697" s="57" t="s">
        <v>281</v>
      </c>
      <c r="D697" s="12">
        <f>F697*$D$10</f>
        <v>3270</v>
      </c>
      <c r="E697" s="12"/>
      <c r="F697" s="39">
        <v>6</v>
      </c>
      <c r="G697" s="38">
        <v>4.25</v>
      </c>
    </row>
    <row r="698" spans="1:10" x14ac:dyDescent="0.2">
      <c r="A698" s="125">
        <v>465</v>
      </c>
      <c r="C698" s="57" t="s">
        <v>282</v>
      </c>
      <c r="D698" s="12">
        <f t="shared" ref="D698:D706" si="48">F698*$D$10</f>
        <v>3270</v>
      </c>
      <c r="E698" s="12"/>
      <c r="F698" s="39">
        <v>6</v>
      </c>
      <c r="G698" s="38">
        <v>4.25</v>
      </c>
    </row>
    <row r="699" spans="1:10" x14ac:dyDescent="0.2">
      <c r="A699" s="124">
        <v>466</v>
      </c>
      <c r="C699" s="62" t="s">
        <v>283</v>
      </c>
      <c r="D699" s="12">
        <f t="shared" si="48"/>
        <v>6540</v>
      </c>
      <c r="E699" s="12"/>
      <c r="F699" s="39">
        <v>12</v>
      </c>
      <c r="G699" s="38">
        <v>9.5</v>
      </c>
    </row>
    <row r="700" spans="1:10" hidden="1" x14ac:dyDescent="0.2">
      <c r="A700" s="125">
        <v>467</v>
      </c>
      <c r="C700" s="62" t="s">
        <v>284</v>
      </c>
      <c r="D700" s="12">
        <f t="shared" si="48"/>
        <v>8175</v>
      </c>
      <c r="E700" s="12"/>
      <c r="F700" s="39">
        <v>15</v>
      </c>
      <c r="G700" s="38">
        <v>11.25</v>
      </c>
    </row>
    <row r="701" spans="1:10" x14ac:dyDescent="0.2">
      <c r="A701" s="125">
        <v>468</v>
      </c>
      <c r="C701" s="62" t="s">
        <v>285</v>
      </c>
      <c r="D701" s="12">
        <f t="shared" si="48"/>
        <v>8502</v>
      </c>
      <c r="E701" s="12"/>
      <c r="F701" s="39">
        <v>15.6</v>
      </c>
      <c r="G701" s="38">
        <v>12</v>
      </c>
    </row>
    <row r="702" spans="1:10" x14ac:dyDescent="0.2">
      <c r="A702" s="125">
        <v>469</v>
      </c>
      <c r="C702" s="57" t="s">
        <v>286</v>
      </c>
      <c r="D702" s="12">
        <f t="shared" si="48"/>
        <v>8829</v>
      </c>
      <c r="E702" s="12"/>
      <c r="F702" s="39">
        <v>16.2</v>
      </c>
      <c r="G702" s="38">
        <v>12.5</v>
      </c>
    </row>
    <row r="703" spans="1:10" x14ac:dyDescent="0.2">
      <c r="A703" s="124">
        <v>470</v>
      </c>
      <c r="C703" s="56" t="s">
        <v>287</v>
      </c>
      <c r="D703" s="12">
        <f t="shared" si="48"/>
        <v>9537.5</v>
      </c>
      <c r="E703" s="12"/>
      <c r="F703" s="39">
        <v>17.5</v>
      </c>
      <c r="G703" s="38">
        <v>13.5</v>
      </c>
    </row>
    <row r="704" spans="1:10" x14ac:dyDescent="0.2">
      <c r="A704" s="125">
        <v>471</v>
      </c>
      <c r="C704" s="56" t="s">
        <v>288</v>
      </c>
      <c r="D704" s="12">
        <f t="shared" si="48"/>
        <v>9810</v>
      </c>
      <c r="E704" s="12"/>
      <c r="F704" s="39">
        <v>18</v>
      </c>
      <c r="G704" s="38">
        <v>13.75</v>
      </c>
    </row>
    <row r="705" spans="1:8" x14ac:dyDescent="0.2">
      <c r="A705" s="125">
        <v>472</v>
      </c>
      <c r="C705" s="57" t="s">
        <v>289</v>
      </c>
      <c r="D705" s="12">
        <f t="shared" si="48"/>
        <v>9810</v>
      </c>
      <c r="E705" s="12"/>
      <c r="F705" s="39">
        <v>18</v>
      </c>
      <c r="G705" s="38">
        <v>13.75</v>
      </c>
    </row>
    <row r="706" spans="1:8" x14ac:dyDescent="0.2">
      <c r="A706" s="125">
        <v>473</v>
      </c>
      <c r="C706" s="57" t="s">
        <v>290</v>
      </c>
      <c r="D706" s="12">
        <f t="shared" si="48"/>
        <v>10464</v>
      </c>
      <c r="E706" s="12"/>
      <c r="F706" s="39">
        <v>19.2</v>
      </c>
      <c r="G706" s="38">
        <v>15</v>
      </c>
    </row>
    <row r="707" spans="1:8" ht="14" x14ac:dyDescent="0.2">
      <c r="A707" s="124">
        <v>474</v>
      </c>
      <c r="C707" s="197" t="s">
        <v>528</v>
      </c>
      <c r="D707" s="190"/>
      <c r="E707" s="190"/>
      <c r="F707" s="190"/>
      <c r="G707" s="191"/>
    </row>
    <row r="708" spans="1:8" ht="13.5" customHeight="1" x14ac:dyDescent="0.2">
      <c r="A708" s="125">
        <v>475</v>
      </c>
      <c r="C708" s="56" t="s">
        <v>277</v>
      </c>
      <c r="D708" s="12">
        <f>F708*$D$10</f>
        <v>3924</v>
      </c>
      <c r="E708" s="12"/>
      <c r="F708" s="45">
        <v>7.2</v>
      </c>
      <c r="G708" s="38">
        <v>4.75</v>
      </c>
    </row>
    <row r="709" spans="1:8" ht="10.5" x14ac:dyDescent="0.2">
      <c r="A709" s="125">
        <v>1108280622</v>
      </c>
      <c r="C709" s="56" t="s">
        <v>682</v>
      </c>
      <c r="D709" s="12">
        <f>F709*$D$10</f>
        <v>3924</v>
      </c>
      <c r="E709" s="12"/>
      <c r="F709" s="45">
        <v>7.2</v>
      </c>
      <c r="G709" s="38">
        <v>4.75</v>
      </c>
      <c r="H709" s="154"/>
    </row>
    <row r="710" spans="1:8" x14ac:dyDescent="0.2">
      <c r="A710" s="125">
        <v>476</v>
      </c>
      <c r="C710" s="56" t="s">
        <v>464</v>
      </c>
      <c r="D710" s="12">
        <f t="shared" ref="D710:D733" si="49">F710*$D$10</f>
        <v>4087.5</v>
      </c>
      <c r="E710" s="12"/>
      <c r="F710" s="45">
        <v>7.5</v>
      </c>
      <c r="G710" s="38">
        <v>5</v>
      </c>
    </row>
    <row r="711" spans="1:8" x14ac:dyDescent="0.2">
      <c r="A711" s="125">
        <v>477</v>
      </c>
      <c r="C711" s="34" t="s">
        <v>428</v>
      </c>
      <c r="D711" s="12">
        <f>F711*$D$10</f>
        <v>2316.25</v>
      </c>
      <c r="E711" s="12"/>
      <c r="F711" s="45">
        <v>4.25</v>
      </c>
      <c r="G711" s="38">
        <v>3.28</v>
      </c>
    </row>
    <row r="712" spans="1:8" ht="10.5" x14ac:dyDescent="0.2">
      <c r="A712" s="124">
        <v>478</v>
      </c>
      <c r="C712" s="184" t="s">
        <v>429</v>
      </c>
      <c r="D712" s="101">
        <f>F712*$D$10</f>
        <v>3204.6</v>
      </c>
      <c r="E712" s="101"/>
      <c r="F712" s="185">
        <v>5.88</v>
      </c>
      <c r="G712" s="102">
        <v>4.9000000000000004</v>
      </c>
      <c r="H712" s="154"/>
    </row>
    <row r="713" spans="1:8" hidden="1" x14ac:dyDescent="0.2">
      <c r="A713" s="125">
        <v>479</v>
      </c>
      <c r="C713" s="34" t="s">
        <v>291</v>
      </c>
      <c r="D713" s="12">
        <f t="shared" si="49"/>
        <v>4087.5</v>
      </c>
      <c r="E713" s="12"/>
      <c r="F713" s="45">
        <v>7.5</v>
      </c>
      <c r="G713" s="38">
        <v>5</v>
      </c>
    </row>
    <row r="714" spans="1:8" hidden="1" x14ac:dyDescent="0.2">
      <c r="A714" s="125">
        <v>480</v>
      </c>
      <c r="C714" s="34" t="s">
        <v>415</v>
      </c>
      <c r="D714" s="12">
        <f>F714*$D$10</f>
        <v>3542.5</v>
      </c>
      <c r="E714" s="12"/>
      <c r="F714" s="45">
        <v>6.5</v>
      </c>
      <c r="G714" s="38">
        <v>4.5</v>
      </c>
    </row>
    <row r="715" spans="1:8" x14ac:dyDescent="0.2">
      <c r="A715" s="125">
        <v>481</v>
      </c>
      <c r="C715" s="10" t="s">
        <v>292</v>
      </c>
      <c r="D715" s="12">
        <f t="shared" si="49"/>
        <v>8175</v>
      </c>
      <c r="E715" s="12"/>
      <c r="F715" s="45">
        <v>15</v>
      </c>
      <c r="G715" s="38">
        <v>11.5</v>
      </c>
    </row>
    <row r="716" spans="1:8" hidden="1" x14ac:dyDescent="0.2">
      <c r="A716" s="124">
        <v>482</v>
      </c>
      <c r="C716" s="33" t="s">
        <v>293</v>
      </c>
      <c r="D716" s="12">
        <f t="shared" si="49"/>
        <v>9810</v>
      </c>
      <c r="E716" s="12"/>
      <c r="F716" s="45">
        <v>18</v>
      </c>
      <c r="G716" s="38">
        <v>13.75</v>
      </c>
    </row>
    <row r="717" spans="1:8" ht="10.5" x14ac:dyDescent="0.2">
      <c r="A717" s="125">
        <v>1230141223</v>
      </c>
      <c r="C717" s="85" t="s">
        <v>745</v>
      </c>
      <c r="D717" s="80">
        <f>F717*$D$10</f>
        <v>7548.25</v>
      </c>
      <c r="E717" s="80"/>
      <c r="F717" s="45">
        <v>13.85</v>
      </c>
      <c r="G717" s="38">
        <v>11.54</v>
      </c>
      <c r="H717" s="154"/>
    </row>
    <row r="718" spans="1:8" ht="10.5" x14ac:dyDescent="0.2">
      <c r="A718" s="125">
        <v>1020180226</v>
      </c>
      <c r="C718" s="164" t="s">
        <v>806</v>
      </c>
      <c r="D718" s="186">
        <f>F718*$D$10</f>
        <v>9810</v>
      </c>
      <c r="E718" s="186"/>
      <c r="F718" s="187">
        <v>18</v>
      </c>
      <c r="G718" s="188">
        <v>13.75</v>
      </c>
      <c r="H718" s="154"/>
    </row>
    <row r="719" spans="1:8" x14ac:dyDescent="0.2">
      <c r="A719" s="125">
        <v>483</v>
      </c>
      <c r="C719" s="57" t="s">
        <v>294</v>
      </c>
      <c r="D719" s="12">
        <f t="shared" si="49"/>
        <v>9810</v>
      </c>
      <c r="E719" s="12"/>
      <c r="F719" s="44">
        <v>18</v>
      </c>
      <c r="G719" s="72">
        <v>13.75</v>
      </c>
    </row>
    <row r="720" spans="1:8" hidden="1" x14ac:dyDescent="0.2">
      <c r="A720" s="125">
        <v>484</v>
      </c>
      <c r="C720" s="34" t="s">
        <v>295</v>
      </c>
      <c r="D720" s="12">
        <f t="shared" si="49"/>
        <v>9810</v>
      </c>
      <c r="E720" s="12"/>
      <c r="F720" s="44">
        <v>18</v>
      </c>
      <c r="G720" s="72">
        <v>13.75</v>
      </c>
    </row>
    <row r="721" spans="1:8" x14ac:dyDescent="0.2">
      <c r="A721" s="125">
        <v>485</v>
      </c>
      <c r="C721" s="35" t="s">
        <v>749</v>
      </c>
      <c r="D721" s="12">
        <f t="shared" si="49"/>
        <v>9810</v>
      </c>
      <c r="E721" s="12"/>
      <c r="F721" s="44">
        <v>18</v>
      </c>
      <c r="G721" s="72">
        <v>13.75</v>
      </c>
    </row>
    <row r="722" spans="1:8" x14ac:dyDescent="0.2">
      <c r="A722" s="124">
        <v>486</v>
      </c>
      <c r="C722" s="34" t="s">
        <v>748</v>
      </c>
      <c r="D722" s="12">
        <f t="shared" si="49"/>
        <v>9810</v>
      </c>
      <c r="E722" s="12"/>
      <c r="F722" s="44">
        <v>18</v>
      </c>
      <c r="G722" s="72">
        <v>13.75</v>
      </c>
    </row>
    <row r="723" spans="1:8" hidden="1" x14ac:dyDescent="0.2">
      <c r="A723" s="125">
        <v>487</v>
      </c>
      <c r="C723" s="35" t="s">
        <v>296</v>
      </c>
      <c r="D723" s="12">
        <f t="shared" si="49"/>
        <v>9810</v>
      </c>
      <c r="E723" s="12"/>
      <c r="F723" s="44">
        <v>18</v>
      </c>
      <c r="G723" s="72">
        <v>13.75</v>
      </c>
    </row>
    <row r="724" spans="1:8" x14ac:dyDescent="0.2">
      <c r="A724" s="125">
        <v>488</v>
      </c>
      <c r="C724" s="35" t="s">
        <v>297</v>
      </c>
      <c r="D724" s="12">
        <f t="shared" si="49"/>
        <v>11445</v>
      </c>
      <c r="E724" s="12"/>
      <c r="F724" s="44">
        <v>21</v>
      </c>
      <c r="G724" s="72">
        <v>15</v>
      </c>
    </row>
    <row r="725" spans="1:8" x14ac:dyDescent="0.2">
      <c r="A725" s="125">
        <v>1017100119</v>
      </c>
      <c r="C725" s="111" t="s">
        <v>485</v>
      </c>
      <c r="D725" s="12">
        <f t="shared" si="49"/>
        <v>11445</v>
      </c>
      <c r="E725" s="12"/>
      <c r="F725" s="44">
        <v>21</v>
      </c>
      <c r="G725" s="72">
        <v>15</v>
      </c>
    </row>
    <row r="726" spans="1:8" x14ac:dyDescent="0.2">
      <c r="A726" s="125">
        <v>489</v>
      </c>
      <c r="C726" s="57" t="s">
        <v>298</v>
      </c>
      <c r="D726" s="12">
        <f t="shared" si="49"/>
        <v>11445</v>
      </c>
      <c r="E726" s="12"/>
      <c r="F726" s="45">
        <v>21</v>
      </c>
      <c r="G726" s="38">
        <v>15</v>
      </c>
    </row>
    <row r="727" spans="1:8" hidden="1" x14ac:dyDescent="0.2">
      <c r="A727" s="124">
        <v>490</v>
      </c>
      <c r="C727" s="35" t="s">
        <v>299</v>
      </c>
      <c r="D727" s="12">
        <f t="shared" si="49"/>
        <v>11445</v>
      </c>
      <c r="E727" s="12"/>
      <c r="F727" s="45">
        <v>21</v>
      </c>
      <c r="G727" s="38">
        <v>15</v>
      </c>
    </row>
    <row r="728" spans="1:8" x14ac:dyDescent="0.2">
      <c r="A728" s="125">
        <v>491</v>
      </c>
      <c r="C728" s="35" t="s">
        <v>300</v>
      </c>
      <c r="D728" s="12">
        <f t="shared" si="49"/>
        <v>11445</v>
      </c>
      <c r="E728" s="12"/>
      <c r="F728" s="44">
        <v>21</v>
      </c>
      <c r="G728" s="72">
        <v>15</v>
      </c>
    </row>
    <row r="729" spans="1:8" hidden="1" x14ac:dyDescent="0.2">
      <c r="A729" s="125">
        <v>492</v>
      </c>
      <c r="C729" s="35" t="s">
        <v>301</v>
      </c>
      <c r="D729" s="12">
        <f t="shared" si="49"/>
        <v>12099</v>
      </c>
      <c r="E729" s="12"/>
      <c r="F729" s="44">
        <v>22.2</v>
      </c>
      <c r="G729" s="72">
        <v>16.75</v>
      </c>
    </row>
    <row r="730" spans="1:8" x14ac:dyDescent="0.2">
      <c r="A730" s="125">
        <v>1154241123</v>
      </c>
      <c r="C730" s="56" t="s">
        <v>743</v>
      </c>
      <c r="D730" s="12">
        <f>F730*$D$10</f>
        <v>12862</v>
      </c>
      <c r="E730" s="12"/>
      <c r="F730" s="44">
        <v>23.6</v>
      </c>
      <c r="G730" s="72">
        <v>19.670000000000002</v>
      </c>
    </row>
    <row r="731" spans="1:8" hidden="1" x14ac:dyDescent="0.2">
      <c r="A731" s="125">
        <v>493</v>
      </c>
      <c r="C731" s="34" t="s">
        <v>411</v>
      </c>
      <c r="D731" s="113">
        <f>F731*$D$10</f>
        <v>13080</v>
      </c>
      <c r="E731" s="113"/>
      <c r="F731" s="44">
        <v>24</v>
      </c>
      <c r="G731" s="72">
        <v>18</v>
      </c>
    </row>
    <row r="732" spans="1:8" ht="10.5" x14ac:dyDescent="0.2">
      <c r="A732" s="124">
        <v>1044230620</v>
      </c>
      <c r="C732" s="85" t="s">
        <v>550</v>
      </c>
      <c r="D732" s="12">
        <f>F732*$D$10</f>
        <v>19075</v>
      </c>
      <c r="E732" s="12"/>
      <c r="F732" s="39">
        <v>35</v>
      </c>
      <c r="G732" s="38">
        <v>29.17</v>
      </c>
      <c r="H732" s="154"/>
    </row>
    <row r="733" spans="1:8" x14ac:dyDescent="0.2">
      <c r="A733" s="124">
        <v>494</v>
      </c>
      <c r="C733" s="56" t="s">
        <v>302</v>
      </c>
      <c r="D733" s="12">
        <f t="shared" si="49"/>
        <v>33517.5</v>
      </c>
      <c r="E733" s="12"/>
      <c r="F733" s="44">
        <v>61.5</v>
      </c>
      <c r="G733" s="72">
        <v>51.25</v>
      </c>
    </row>
    <row r="734" spans="1:8" ht="14" x14ac:dyDescent="0.2">
      <c r="A734" s="124">
        <v>474</v>
      </c>
      <c r="C734" s="197" t="s">
        <v>529</v>
      </c>
      <c r="D734" s="190"/>
      <c r="E734" s="190"/>
      <c r="F734" s="190"/>
      <c r="G734" s="191"/>
    </row>
    <row r="735" spans="1:8" ht="13.5" customHeight="1" x14ac:dyDescent="0.2">
      <c r="A735" s="125">
        <v>1640030119</v>
      </c>
      <c r="C735" s="56" t="s">
        <v>665</v>
      </c>
      <c r="D735" s="12">
        <f>F735*$D$10</f>
        <v>45540.200000000004</v>
      </c>
      <c r="E735" s="12"/>
      <c r="F735" s="45">
        <v>83.56</v>
      </c>
      <c r="G735" s="38">
        <v>69.64</v>
      </c>
      <c r="H735" s="154"/>
    </row>
    <row r="736" spans="1:8" ht="10.5" x14ac:dyDescent="0.2">
      <c r="A736" s="125">
        <v>1641030119</v>
      </c>
      <c r="C736" s="56" t="s">
        <v>666</v>
      </c>
      <c r="D736" s="12">
        <f>F736*$D$10</f>
        <v>62168.149999999994</v>
      </c>
      <c r="E736" s="12"/>
      <c r="F736" s="45">
        <v>114.07</v>
      </c>
      <c r="G736" s="38">
        <v>95.06</v>
      </c>
      <c r="H736" s="154"/>
    </row>
    <row r="737" spans="1:9" ht="14" x14ac:dyDescent="0.2">
      <c r="A737" s="125">
        <v>495</v>
      </c>
      <c r="C737" s="189" t="s">
        <v>530</v>
      </c>
      <c r="D737" s="190"/>
      <c r="E737" s="190"/>
      <c r="F737" s="190"/>
      <c r="G737" s="191"/>
    </row>
    <row r="738" spans="1:9" x14ac:dyDescent="0.2">
      <c r="A738" s="125">
        <v>496</v>
      </c>
      <c r="C738" s="70" t="s">
        <v>397</v>
      </c>
      <c r="D738" s="80">
        <f>F738*$D$10</f>
        <v>119.9</v>
      </c>
      <c r="E738" s="12"/>
      <c r="F738" s="81">
        <v>0.22</v>
      </c>
      <c r="G738" s="82">
        <v>0.17710000000000001</v>
      </c>
    </row>
    <row r="739" spans="1:9" hidden="1" x14ac:dyDescent="0.2">
      <c r="A739" s="125">
        <v>497</v>
      </c>
      <c r="C739" s="54" t="s">
        <v>398</v>
      </c>
      <c r="D739" s="12">
        <f>F739*$D$10</f>
        <v>126.113</v>
      </c>
      <c r="E739" s="12"/>
      <c r="F739" s="39">
        <v>0.23139999999999999</v>
      </c>
      <c r="G739" s="38">
        <v>0.19139999999999999</v>
      </c>
    </row>
    <row r="740" spans="1:9" ht="10.5" x14ac:dyDescent="0.2">
      <c r="A740" s="124">
        <v>498</v>
      </c>
      <c r="C740" s="109" t="s">
        <v>399</v>
      </c>
      <c r="D740" s="101">
        <f t="shared" ref="D740:D746" si="50">F740*$D$10</f>
        <v>523.19999999999993</v>
      </c>
      <c r="E740" s="101"/>
      <c r="F740" s="110">
        <v>0.96</v>
      </c>
      <c r="G740" s="102">
        <v>0.8</v>
      </c>
      <c r="H740" s="154"/>
      <c r="I740" s="121"/>
    </row>
    <row r="741" spans="1:9" ht="10.5" x14ac:dyDescent="0.2">
      <c r="A741" s="124">
        <v>1133290124</v>
      </c>
      <c r="C741" s="84" t="s">
        <v>751</v>
      </c>
      <c r="D741" s="12">
        <f>F741*$D$10</f>
        <v>1035.5</v>
      </c>
      <c r="E741" s="12"/>
      <c r="F741" s="39">
        <v>1.9</v>
      </c>
      <c r="G741" s="38">
        <v>1.59</v>
      </c>
      <c r="H741" s="154"/>
    </row>
    <row r="742" spans="1:9" ht="10.5" x14ac:dyDescent="0.2">
      <c r="A742" s="125">
        <v>499</v>
      </c>
      <c r="C742" s="109" t="s">
        <v>400</v>
      </c>
      <c r="D742" s="101">
        <f t="shared" si="50"/>
        <v>1880.25</v>
      </c>
      <c r="E742" s="101"/>
      <c r="F742" s="110">
        <v>3.45</v>
      </c>
      <c r="G742" s="102">
        <v>2.87</v>
      </c>
      <c r="H742" s="154"/>
    </row>
    <row r="743" spans="1:9" ht="10.5" x14ac:dyDescent="0.2">
      <c r="A743" s="125">
        <v>500</v>
      </c>
      <c r="C743" s="54" t="s">
        <v>303</v>
      </c>
      <c r="D743" s="12">
        <f t="shared" si="50"/>
        <v>2158.1999999999998</v>
      </c>
      <c r="E743" s="12"/>
      <c r="F743" s="39">
        <v>3.96</v>
      </c>
      <c r="G743" s="38">
        <v>3.3</v>
      </c>
      <c r="H743" s="154"/>
    </row>
    <row r="744" spans="1:9" ht="10.5" x14ac:dyDescent="0.2">
      <c r="A744" s="125">
        <v>501</v>
      </c>
      <c r="C744" s="54" t="s">
        <v>304</v>
      </c>
      <c r="D744" s="12">
        <f t="shared" si="50"/>
        <v>1596.8500000000001</v>
      </c>
      <c r="E744" s="12"/>
      <c r="F744" s="39">
        <v>2.93</v>
      </c>
      <c r="G744" s="38">
        <v>2.44</v>
      </c>
      <c r="H744" s="154"/>
    </row>
    <row r="745" spans="1:9" hidden="1" x14ac:dyDescent="0.2">
      <c r="A745" s="124">
        <v>502</v>
      </c>
      <c r="C745" s="54" t="s">
        <v>305</v>
      </c>
      <c r="D745" s="12">
        <f t="shared" si="50"/>
        <v>1700.4</v>
      </c>
      <c r="E745" s="12"/>
      <c r="F745" s="39">
        <v>3.12</v>
      </c>
      <c r="G745" s="38">
        <v>2.34</v>
      </c>
    </row>
    <row r="746" spans="1:9" ht="10.5" x14ac:dyDescent="0.2">
      <c r="A746" s="125">
        <v>503</v>
      </c>
      <c r="C746" s="54" t="s">
        <v>306</v>
      </c>
      <c r="D746" s="12">
        <f t="shared" si="50"/>
        <v>1809.3999999999999</v>
      </c>
      <c r="E746" s="12"/>
      <c r="F746" s="39">
        <v>3.32</v>
      </c>
      <c r="G746" s="38">
        <v>2.77</v>
      </c>
      <c r="H746" s="154"/>
    </row>
    <row r="747" spans="1:9" ht="14" x14ac:dyDescent="0.2">
      <c r="A747" s="125">
        <v>504</v>
      </c>
      <c r="C747" s="197" t="s">
        <v>531</v>
      </c>
      <c r="D747" s="190"/>
      <c r="E747" s="190"/>
      <c r="F747" s="190"/>
      <c r="G747" s="191"/>
    </row>
    <row r="748" spans="1:9" x14ac:dyDescent="0.2">
      <c r="A748" s="125">
        <v>505</v>
      </c>
      <c r="C748" s="57" t="s">
        <v>307</v>
      </c>
      <c r="D748" s="12">
        <f>F748*$D$10</f>
        <v>14715</v>
      </c>
      <c r="E748" s="12"/>
      <c r="F748" s="44">
        <v>27</v>
      </c>
      <c r="G748" s="72">
        <v>18</v>
      </c>
    </row>
    <row r="749" spans="1:9" x14ac:dyDescent="0.2">
      <c r="A749" s="124">
        <v>506</v>
      </c>
      <c r="C749" s="56" t="s">
        <v>308</v>
      </c>
      <c r="D749" s="12">
        <f>F749*$D$10</f>
        <v>14715</v>
      </c>
      <c r="E749" s="12"/>
      <c r="F749" s="44">
        <v>27</v>
      </c>
      <c r="G749" s="72">
        <v>18</v>
      </c>
    </row>
    <row r="750" spans="1:9" x14ac:dyDescent="0.2">
      <c r="A750" s="125">
        <v>507</v>
      </c>
      <c r="C750" s="57" t="s">
        <v>309</v>
      </c>
      <c r="D750" s="12">
        <f>F750*$D$10</f>
        <v>17985</v>
      </c>
      <c r="E750" s="12"/>
      <c r="F750" s="44">
        <v>33</v>
      </c>
      <c r="G750" s="72">
        <v>25.25</v>
      </c>
    </row>
    <row r="751" spans="1:9" x14ac:dyDescent="0.2">
      <c r="A751" s="125">
        <v>508</v>
      </c>
      <c r="C751" s="57" t="s">
        <v>310</v>
      </c>
      <c r="D751" s="12">
        <f>F751*$D$10</f>
        <v>12099</v>
      </c>
      <c r="E751" s="12"/>
      <c r="F751" s="44">
        <v>22.2</v>
      </c>
      <c r="G751" s="72">
        <v>18</v>
      </c>
    </row>
    <row r="752" spans="1:9" x14ac:dyDescent="0.2">
      <c r="A752" s="125">
        <v>509</v>
      </c>
      <c r="C752" s="56" t="s">
        <v>311</v>
      </c>
      <c r="D752" s="12">
        <f>F752*$D$10</f>
        <v>12099</v>
      </c>
      <c r="E752" s="12"/>
      <c r="F752" s="44">
        <v>22.2</v>
      </c>
      <c r="G752" s="72">
        <v>18</v>
      </c>
    </row>
    <row r="753" spans="1:8" ht="14" x14ac:dyDescent="0.2">
      <c r="A753" s="124">
        <v>510</v>
      </c>
      <c r="C753" s="197" t="s">
        <v>533</v>
      </c>
      <c r="D753" s="190"/>
      <c r="E753" s="190"/>
      <c r="F753" s="190"/>
      <c r="G753" s="191"/>
    </row>
    <row r="754" spans="1:8" x14ac:dyDescent="0.2">
      <c r="A754" s="125">
        <v>511</v>
      </c>
      <c r="C754" s="59" t="s">
        <v>389</v>
      </c>
      <c r="D754" s="12">
        <f>F754*$D$10</f>
        <v>11772</v>
      </c>
      <c r="E754" s="12"/>
      <c r="F754" s="39">
        <v>21.6</v>
      </c>
      <c r="G754" s="38">
        <v>15</v>
      </c>
    </row>
    <row r="755" spans="1:8" x14ac:dyDescent="0.2">
      <c r="A755" s="125">
        <v>1819181219</v>
      </c>
      <c r="C755" s="59" t="s">
        <v>539</v>
      </c>
      <c r="D755" s="12">
        <f>F755*$D$10</f>
        <v>20208.599999999999</v>
      </c>
      <c r="E755" s="12"/>
      <c r="F755" s="39">
        <v>37.08</v>
      </c>
      <c r="G755" s="38">
        <v>30.9</v>
      </c>
    </row>
    <row r="756" spans="1:8" x14ac:dyDescent="0.2">
      <c r="A756" s="125">
        <v>512</v>
      </c>
      <c r="C756" s="100" t="s">
        <v>312</v>
      </c>
      <c r="D756" s="12">
        <f t="shared" ref="D756:D764" si="51">F756*$D$10</f>
        <v>19620</v>
      </c>
      <c r="E756" s="12"/>
      <c r="F756" s="39">
        <v>36</v>
      </c>
      <c r="G756" s="38">
        <v>27.5</v>
      </c>
    </row>
    <row r="757" spans="1:8" hidden="1" x14ac:dyDescent="0.2">
      <c r="A757" s="125">
        <v>513</v>
      </c>
      <c r="C757" s="100" t="s">
        <v>313</v>
      </c>
      <c r="D757" s="12">
        <f t="shared" si="51"/>
        <v>44962.5</v>
      </c>
      <c r="E757" s="12"/>
      <c r="F757" s="39">
        <v>82.5</v>
      </c>
      <c r="G757" s="38">
        <v>66</v>
      </c>
    </row>
    <row r="758" spans="1:8" x14ac:dyDescent="0.2">
      <c r="A758" s="124">
        <v>514</v>
      </c>
      <c r="C758" s="100" t="s">
        <v>667</v>
      </c>
      <c r="D758" s="12">
        <f t="shared" si="51"/>
        <v>26977.5</v>
      </c>
      <c r="E758" s="12"/>
      <c r="F758" s="39">
        <v>49.5</v>
      </c>
      <c r="G758" s="38">
        <v>37</v>
      </c>
    </row>
    <row r="759" spans="1:8" x14ac:dyDescent="0.2">
      <c r="A759" s="125">
        <v>515</v>
      </c>
      <c r="C759" s="58" t="s">
        <v>668</v>
      </c>
      <c r="D759" s="12">
        <f t="shared" si="51"/>
        <v>32427.5</v>
      </c>
      <c r="E759" s="12"/>
      <c r="F759" s="40">
        <v>59.5</v>
      </c>
      <c r="G759" s="73">
        <v>47.5</v>
      </c>
    </row>
    <row r="760" spans="1:8" x14ac:dyDescent="0.2">
      <c r="A760" s="125">
        <v>516</v>
      </c>
      <c r="C760" s="58" t="s">
        <v>669</v>
      </c>
      <c r="D760" s="12">
        <f t="shared" si="51"/>
        <v>33790</v>
      </c>
      <c r="E760" s="12"/>
      <c r="F760" s="40">
        <v>62</v>
      </c>
      <c r="G760" s="73">
        <v>49.5</v>
      </c>
    </row>
    <row r="761" spans="1:8" x14ac:dyDescent="0.2">
      <c r="A761" s="125">
        <v>517</v>
      </c>
      <c r="C761" s="58" t="s">
        <v>670</v>
      </c>
      <c r="D761" s="12">
        <f t="shared" si="51"/>
        <v>64037.5</v>
      </c>
      <c r="E761" s="12"/>
      <c r="F761" s="40">
        <v>117.5</v>
      </c>
      <c r="G761" s="73">
        <v>94</v>
      </c>
    </row>
    <row r="762" spans="1:8" x14ac:dyDescent="0.2">
      <c r="A762" s="124">
        <v>518</v>
      </c>
      <c r="C762" s="58" t="s">
        <v>671</v>
      </c>
      <c r="D762" s="12">
        <f t="shared" si="51"/>
        <v>64582.5</v>
      </c>
      <c r="E762" s="12"/>
      <c r="F762" s="40">
        <v>118.5</v>
      </c>
      <c r="G762" s="73">
        <v>95</v>
      </c>
    </row>
    <row r="763" spans="1:8" x14ac:dyDescent="0.2">
      <c r="A763" s="125">
        <v>519</v>
      </c>
      <c r="C763" s="58" t="s">
        <v>672</v>
      </c>
      <c r="D763" s="12">
        <f t="shared" si="51"/>
        <v>64582.5</v>
      </c>
      <c r="E763" s="12"/>
      <c r="F763" s="40">
        <v>118.5</v>
      </c>
      <c r="G763" s="73">
        <v>95</v>
      </c>
    </row>
    <row r="764" spans="1:8" x14ac:dyDescent="0.2">
      <c r="A764" s="125">
        <v>520</v>
      </c>
      <c r="C764" s="58" t="s">
        <v>673</v>
      </c>
      <c r="D764" s="12">
        <f t="shared" si="51"/>
        <v>91832.5</v>
      </c>
      <c r="E764" s="12"/>
      <c r="F764" s="40">
        <v>168.5</v>
      </c>
      <c r="G764" s="73">
        <v>134.5</v>
      </c>
    </row>
    <row r="765" spans="1:8" ht="10.5" x14ac:dyDescent="0.2">
      <c r="A765" s="125">
        <v>521</v>
      </c>
      <c r="C765" s="86" t="s">
        <v>674</v>
      </c>
      <c r="D765" s="12">
        <f t="shared" ref="D765:D777" si="52">F765*$D$10</f>
        <v>106956.25</v>
      </c>
      <c r="E765" s="12"/>
      <c r="F765" s="40">
        <v>196.25</v>
      </c>
      <c r="G765" s="73">
        <v>168.42</v>
      </c>
      <c r="H765" s="154"/>
    </row>
    <row r="766" spans="1:8" ht="10.5" x14ac:dyDescent="0.2">
      <c r="A766" s="125">
        <v>1024150923</v>
      </c>
      <c r="C766" s="84" t="s">
        <v>741</v>
      </c>
      <c r="D766" s="12">
        <f>F766*$D$10</f>
        <v>126434.55</v>
      </c>
      <c r="E766" s="12"/>
      <c r="F766" s="40">
        <v>231.99</v>
      </c>
      <c r="G766" s="73">
        <v>193.33</v>
      </c>
      <c r="H766" s="154"/>
    </row>
    <row r="767" spans="1:8" ht="10.5" x14ac:dyDescent="0.2">
      <c r="A767" s="124">
        <v>522</v>
      </c>
      <c r="C767" s="58" t="s">
        <v>675</v>
      </c>
      <c r="D767" s="12">
        <f t="shared" si="52"/>
        <v>246568.9</v>
      </c>
      <c r="E767" s="12"/>
      <c r="F767" s="40">
        <v>452.42</v>
      </c>
      <c r="G767" s="73">
        <v>388.42</v>
      </c>
      <c r="H767" s="154"/>
    </row>
    <row r="768" spans="1:8" ht="10.5" x14ac:dyDescent="0.2">
      <c r="A768" s="125">
        <v>523</v>
      </c>
      <c r="C768" s="58" t="s">
        <v>676</v>
      </c>
      <c r="D768" s="12">
        <f t="shared" si="52"/>
        <v>282271.84999999998</v>
      </c>
      <c r="E768" s="12"/>
      <c r="F768" s="40">
        <v>517.92999999999995</v>
      </c>
      <c r="G768" s="73">
        <v>450.37</v>
      </c>
      <c r="H768" s="154"/>
    </row>
    <row r="769" spans="1:8" ht="10.5" x14ac:dyDescent="0.2">
      <c r="A769" s="125">
        <v>1217030925</v>
      </c>
      <c r="C769" s="58" t="s">
        <v>784</v>
      </c>
      <c r="D769" s="12">
        <f>F769*$D$10</f>
        <v>12535</v>
      </c>
      <c r="E769" s="12"/>
      <c r="F769" s="40">
        <v>23</v>
      </c>
      <c r="G769" s="73">
        <v>19.170000000000002</v>
      </c>
      <c r="H769" s="154"/>
    </row>
    <row r="770" spans="1:8" ht="10.5" x14ac:dyDescent="0.2">
      <c r="A770" s="124">
        <v>2210181715</v>
      </c>
      <c r="C770" s="58" t="s">
        <v>677</v>
      </c>
      <c r="D770" s="12">
        <f t="shared" si="52"/>
        <v>50525.109968981626</v>
      </c>
      <c r="E770" s="12"/>
      <c r="F770" s="40">
        <v>92.706623796296554</v>
      </c>
      <c r="G770" s="73">
        <v>77.255519830247138</v>
      </c>
      <c r="H770" s="154"/>
    </row>
    <row r="771" spans="1:8" ht="10.5" x14ac:dyDescent="0.2">
      <c r="A771" s="125">
        <v>2210181716</v>
      </c>
      <c r="C771" s="58" t="s">
        <v>678</v>
      </c>
      <c r="D771" s="12">
        <f t="shared" si="52"/>
        <v>170978.60641081003</v>
      </c>
      <c r="E771" s="12"/>
      <c r="F771" s="40">
        <v>313.72221359781656</v>
      </c>
      <c r="G771" s="73">
        <v>261.43517799818051</v>
      </c>
      <c r="H771" s="154"/>
    </row>
    <row r="772" spans="1:8" ht="10.5" x14ac:dyDescent="0.2">
      <c r="A772" s="124">
        <v>2210181717</v>
      </c>
      <c r="C772" s="58" t="s">
        <v>679</v>
      </c>
      <c r="D772" s="12">
        <f t="shared" si="52"/>
        <v>221101.39466729327</v>
      </c>
      <c r="E772" s="12"/>
      <c r="F772" s="40">
        <v>405.69063241705186</v>
      </c>
      <c r="G772" s="73">
        <v>338.07552701420985</v>
      </c>
      <c r="H772" s="154"/>
    </row>
    <row r="773" spans="1:8" ht="10.5" hidden="1" x14ac:dyDescent="0.2">
      <c r="A773" s="125">
        <v>2210181718</v>
      </c>
      <c r="C773" s="58" t="s">
        <v>680</v>
      </c>
      <c r="D773" s="12">
        <f>F773*$D$10</f>
        <v>287569.25</v>
      </c>
      <c r="E773" s="12"/>
      <c r="F773" s="40">
        <v>527.65</v>
      </c>
      <c r="G773" s="73">
        <v>439.71</v>
      </c>
      <c r="H773" s="154"/>
    </row>
    <row r="774" spans="1:8" ht="10.5" x14ac:dyDescent="0.2">
      <c r="A774" s="125">
        <v>1433061222</v>
      </c>
      <c r="C774" s="58" t="s">
        <v>704</v>
      </c>
      <c r="D774" s="12">
        <f>F774*$D$10</f>
        <v>292343.45</v>
      </c>
      <c r="E774" s="12"/>
      <c r="F774" s="40">
        <v>536.41</v>
      </c>
      <c r="G774" s="73">
        <v>447.01</v>
      </c>
      <c r="H774" s="154"/>
    </row>
    <row r="775" spans="1:8" ht="10.5" hidden="1" x14ac:dyDescent="0.2">
      <c r="A775" s="124">
        <v>2210181719</v>
      </c>
      <c r="C775" s="58" t="s">
        <v>681</v>
      </c>
      <c r="D775" s="12">
        <f t="shared" si="52"/>
        <v>431899.85504495236</v>
      </c>
      <c r="E775" s="12"/>
      <c r="F775" s="40">
        <v>792.47679824761906</v>
      </c>
      <c r="G775" s="73">
        <v>660.3973318730159</v>
      </c>
      <c r="H775" s="154"/>
    </row>
    <row r="776" spans="1:8" ht="10.5" x14ac:dyDescent="0.2">
      <c r="A776" s="125">
        <v>1849091025</v>
      </c>
      <c r="C776" s="58" t="s">
        <v>793</v>
      </c>
      <c r="D776" s="12">
        <f>F776*$D$10</f>
        <v>294479.85000000003</v>
      </c>
      <c r="E776" s="12"/>
      <c r="F776" s="40">
        <v>540.33000000000004</v>
      </c>
      <c r="G776" s="73">
        <v>469.85</v>
      </c>
      <c r="H776" s="154"/>
    </row>
    <row r="777" spans="1:8" ht="10.5" x14ac:dyDescent="0.2">
      <c r="A777" s="124">
        <v>1851091025</v>
      </c>
      <c r="C777" s="58" t="s">
        <v>794</v>
      </c>
      <c r="D777" s="12">
        <f t="shared" si="52"/>
        <v>371967.95</v>
      </c>
      <c r="E777" s="12"/>
      <c r="F777" s="40">
        <v>682.51</v>
      </c>
      <c r="G777" s="73">
        <v>593.5</v>
      </c>
      <c r="H777" s="154"/>
    </row>
    <row r="778" spans="1:8" ht="10.5" x14ac:dyDescent="0.2">
      <c r="A778" s="124">
        <v>1431061222</v>
      </c>
      <c r="C778" s="58" t="s">
        <v>732</v>
      </c>
      <c r="D778" s="12">
        <f>F778*$D$10</f>
        <v>527194.85</v>
      </c>
      <c r="E778" s="12"/>
      <c r="F778" s="40">
        <v>967.33</v>
      </c>
      <c r="G778" s="73">
        <v>806.11</v>
      </c>
      <c r="H778" s="154"/>
    </row>
    <row r="779" spans="1:8" ht="10.5" x14ac:dyDescent="0.2">
      <c r="A779" s="125">
        <v>1531060623</v>
      </c>
      <c r="C779" s="150" t="s">
        <v>731</v>
      </c>
      <c r="D779" s="143">
        <f>F779*$D$10</f>
        <v>676617.5</v>
      </c>
      <c r="E779" s="143"/>
      <c r="F779" s="152">
        <v>1241.5</v>
      </c>
      <c r="G779" s="153">
        <v>1034.5999999999999</v>
      </c>
      <c r="H779" s="154"/>
    </row>
    <row r="780" spans="1:8" ht="10.5" x14ac:dyDescent="0.2">
      <c r="A780" s="125">
        <v>1504290323</v>
      </c>
      <c r="C780" s="85" t="s">
        <v>730</v>
      </c>
      <c r="D780" s="12">
        <f>F780*$D$10</f>
        <v>748285</v>
      </c>
      <c r="E780" s="12"/>
      <c r="F780" s="40">
        <v>1373</v>
      </c>
      <c r="G780" s="73">
        <v>1194</v>
      </c>
      <c r="H780" s="154"/>
    </row>
    <row r="781" spans="1:8" ht="10.5" hidden="1" x14ac:dyDescent="0.2">
      <c r="A781" s="125">
        <v>1559020823</v>
      </c>
      <c r="C781" s="85" t="s">
        <v>729</v>
      </c>
      <c r="D781" s="12">
        <f>F781*$D$10</f>
        <v>849649.55</v>
      </c>
      <c r="E781" s="12">
        <f>G781*$F$10</f>
        <v>738829.25</v>
      </c>
      <c r="F781" s="40">
        <v>1558.99</v>
      </c>
      <c r="G781" s="73">
        <v>1355.65</v>
      </c>
      <c r="H781" s="154"/>
    </row>
    <row r="782" spans="1:8" ht="14" x14ac:dyDescent="0.2">
      <c r="A782" s="125">
        <v>524</v>
      </c>
      <c r="C782" s="198" t="s">
        <v>532</v>
      </c>
      <c r="D782" s="199"/>
      <c r="E782" s="199"/>
      <c r="F782" s="199"/>
      <c r="G782" s="200"/>
    </row>
    <row r="783" spans="1:8" x14ac:dyDescent="0.2">
      <c r="A783" s="125">
        <v>525</v>
      </c>
      <c r="C783" s="57" t="s">
        <v>314</v>
      </c>
      <c r="D783" s="12">
        <f>F783*$D$10</f>
        <v>18312</v>
      </c>
      <c r="E783" s="12"/>
      <c r="F783" s="45">
        <v>33.6</v>
      </c>
      <c r="G783" s="38">
        <v>25.75</v>
      </c>
    </row>
    <row r="784" spans="1:8" x14ac:dyDescent="0.2">
      <c r="A784" s="124">
        <v>526</v>
      </c>
      <c r="C784" s="57" t="s">
        <v>315</v>
      </c>
      <c r="D784" s="113">
        <f t="shared" ref="D784:D816" si="53">F784*$D$10</f>
        <v>18312</v>
      </c>
      <c r="E784" s="113"/>
      <c r="F784" s="114">
        <v>33.6</v>
      </c>
      <c r="G784" s="72">
        <v>25.75</v>
      </c>
    </row>
    <row r="785" spans="1:8" ht="10.5" x14ac:dyDescent="0.2">
      <c r="A785" s="125">
        <v>1431050719</v>
      </c>
      <c r="C785" s="85" t="s">
        <v>495</v>
      </c>
      <c r="D785" s="12">
        <f>F785*$D$10</f>
        <v>4905</v>
      </c>
      <c r="E785" s="12"/>
      <c r="F785" s="39">
        <v>9</v>
      </c>
      <c r="G785" s="38">
        <v>6.66</v>
      </c>
      <c r="H785" s="154"/>
    </row>
    <row r="786" spans="1:8" ht="10.5" x14ac:dyDescent="0.2">
      <c r="A786" s="125">
        <v>527</v>
      </c>
      <c r="C786" s="54" t="s">
        <v>316</v>
      </c>
      <c r="D786" s="12">
        <f t="shared" si="53"/>
        <v>3815</v>
      </c>
      <c r="E786" s="12"/>
      <c r="F786" s="39">
        <v>7</v>
      </c>
      <c r="G786" s="38">
        <v>3.5</v>
      </c>
      <c r="H786" s="154"/>
    </row>
    <row r="787" spans="1:8" x14ac:dyDescent="0.2">
      <c r="A787" s="125">
        <v>528</v>
      </c>
      <c r="C787" s="56" t="s">
        <v>317</v>
      </c>
      <c r="D787" s="12">
        <f t="shared" si="53"/>
        <v>14715</v>
      </c>
      <c r="E787" s="12"/>
      <c r="F787" s="39">
        <v>27</v>
      </c>
      <c r="G787" s="38">
        <v>22.75</v>
      </c>
    </row>
    <row r="788" spans="1:8" x14ac:dyDescent="0.2">
      <c r="A788" s="125">
        <v>529</v>
      </c>
      <c r="C788" s="56" t="s">
        <v>318</v>
      </c>
      <c r="D788" s="12">
        <f t="shared" si="53"/>
        <v>2725</v>
      </c>
      <c r="E788" s="12"/>
      <c r="F788" s="39">
        <v>5</v>
      </c>
      <c r="G788" s="38">
        <v>4.25</v>
      </c>
    </row>
    <row r="789" spans="1:8" x14ac:dyDescent="0.2">
      <c r="A789" s="124">
        <v>530</v>
      </c>
      <c r="C789" s="56" t="s">
        <v>319</v>
      </c>
      <c r="D789" s="12">
        <f t="shared" si="53"/>
        <v>2289</v>
      </c>
      <c r="E789" s="12"/>
      <c r="F789" s="39">
        <v>4.2</v>
      </c>
      <c r="G789" s="38">
        <v>3</v>
      </c>
    </row>
    <row r="790" spans="1:8" x14ac:dyDescent="0.2">
      <c r="A790" s="125">
        <v>531</v>
      </c>
      <c r="C790" s="56" t="s">
        <v>320</v>
      </c>
      <c r="D790" s="12">
        <f t="shared" si="53"/>
        <v>2289</v>
      </c>
      <c r="E790" s="12"/>
      <c r="F790" s="39">
        <v>4.2</v>
      </c>
      <c r="G790" s="38">
        <v>3</v>
      </c>
    </row>
    <row r="791" spans="1:8" x14ac:dyDescent="0.2">
      <c r="A791" s="125">
        <v>532</v>
      </c>
      <c r="C791" s="56" t="s">
        <v>321</v>
      </c>
      <c r="D791" s="12">
        <f t="shared" si="53"/>
        <v>2452.5</v>
      </c>
      <c r="E791" s="12"/>
      <c r="F791" s="39">
        <v>4.5</v>
      </c>
      <c r="G791" s="38">
        <v>3.5</v>
      </c>
    </row>
    <row r="792" spans="1:8" x14ac:dyDescent="0.2">
      <c r="A792" s="125">
        <v>533</v>
      </c>
      <c r="C792" s="54" t="s">
        <v>322</v>
      </c>
      <c r="D792" s="12">
        <f t="shared" si="53"/>
        <v>2289</v>
      </c>
      <c r="E792" s="12"/>
      <c r="F792" s="39">
        <v>4.2</v>
      </c>
      <c r="G792" s="38">
        <v>3</v>
      </c>
    </row>
    <row r="793" spans="1:8" x14ac:dyDescent="0.2">
      <c r="A793" s="124">
        <v>534</v>
      </c>
      <c r="C793" s="86" t="s">
        <v>390</v>
      </c>
      <c r="D793" s="12">
        <f>F793*$D$10</f>
        <v>2289</v>
      </c>
      <c r="E793" s="12"/>
      <c r="F793" s="39">
        <v>4.2</v>
      </c>
      <c r="G793" s="38">
        <v>3</v>
      </c>
    </row>
    <row r="794" spans="1:8" ht="10.5" x14ac:dyDescent="0.2">
      <c r="A794" s="125">
        <v>1150070622</v>
      </c>
      <c r="C794" s="84" t="s">
        <v>592</v>
      </c>
      <c r="D794" s="12">
        <f>F794*$D$10</f>
        <v>2289</v>
      </c>
      <c r="E794" s="12"/>
      <c r="F794" s="39">
        <v>4.2</v>
      </c>
      <c r="G794" s="38">
        <v>3</v>
      </c>
      <c r="H794" s="154"/>
    </row>
    <row r="795" spans="1:8" x14ac:dyDescent="0.2">
      <c r="A795" s="125">
        <v>535</v>
      </c>
      <c r="C795" s="56" t="s">
        <v>323</v>
      </c>
      <c r="D795" s="12">
        <f t="shared" si="53"/>
        <v>2289</v>
      </c>
      <c r="E795" s="12"/>
      <c r="F795" s="39">
        <v>4.2</v>
      </c>
      <c r="G795" s="38">
        <v>3</v>
      </c>
    </row>
    <row r="796" spans="1:8" x14ac:dyDescent="0.2">
      <c r="A796" s="125">
        <v>536</v>
      </c>
      <c r="C796" s="56" t="s">
        <v>324</v>
      </c>
      <c r="D796" s="12">
        <f t="shared" si="53"/>
        <v>2289</v>
      </c>
      <c r="E796" s="12"/>
      <c r="F796" s="39">
        <v>4.2</v>
      </c>
      <c r="G796" s="38">
        <v>3</v>
      </c>
    </row>
    <row r="797" spans="1:8" x14ac:dyDescent="0.2">
      <c r="A797" s="125">
        <v>537</v>
      </c>
      <c r="C797" s="56" t="s">
        <v>325</v>
      </c>
      <c r="D797" s="12">
        <f t="shared" si="53"/>
        <v>2289</v>
      </c>
      <c r="E797" s="12"/>
      <c r="F797" s="39">
        <v>4.2</v>
      </c>
      <c r="G797" s="38">
        <v>3</v>
      </c>
    </row>
    <row r="798" spans="1:8" x14ac:dyDescent="0.2">
      <c r="A798" s="124">
        <v>538</v>
      </c>
      <c r="C798" s="56" t="s">
        <v>326</v>
      </c>
      <c r="D798" s="12">
        <f t="shared" si="53"/>
        <v>2289</v>
      </c>
      <c r="E798" s="12"/>
      <c r="F798" s="39">
        <v>4.2</v>
      </c>
      <c r="G798" s="38">
        <v>3</v>
      </c>
    </row>
    <row r="799" spans="1:8" ht="10.5" x14ac:dyDescent="0.2">
      <c r="A799" s="124">
        <v>1704050423</v>
      </c>
      <c r="C799" s="62" t="s">
        <v>716</v>
      </c>
      <c r="D799" s="143">
        <f>F799*$D$10</f>
        <v>2599.6499999999996</v>
      </c>
      <c r="E799" s="143"/>
      <c r="F799" s="144">
        <v>4.7699999999999996</v>
      </c>
      <c r="G799" s="145">
        <v>3.97</v>
      </c>
      <c r="H799" s="154"/>
    </row>
    <row r="800" spans="1:8" x14ac:dyDescent="0.2">
      <c r="A800" s="125">
        <v>539</v>
      </c>
      <c r="C800" s="56" t="s">
        <v>327</v>
      </c>
      <c r="D800" s="12">
        <f t="shared" si="53"/>
        <v>272.5</v>
      </c>
      <c r="E800" s="12"/>
      <c r="F800" s="39">
        <v>0.5</v>
      </c>
      <c r="G800" s="38">
        <v>0.4</v>
      </c>
    </row>
    <row r="801" spans="1:8" x14ac:dyDescent="0.2">
      <c r="A801" s="125">
        <v>540</v>
      </c>
      <c r="C801" s="56" t="s">
        <v>328</v>
      </c>
      <c r="D801" s="12">
        <f t="shared" si="53"/>
        <v>1929.3</v>
      </c>
      <c r="E801" s="12"/>
      <c r="F801" s="39">
        <v>3.54</v>
      </c>
      <c r="G801" s="38">
        <v>3</v>
      </c>
    </row>
    <row r="802" spans="1:8" x14ac:dyDescent="0.2">
      <c r="A802" s="125">
        <v>1635220724</v>
      </c>
      <c r="C802" s="56" t="s">
        <v>755</v>
      </c>
      <c r="D802" s="12">
        <f t="shared" si="53"/>
        <v>2180</v>
      </c>
      <c r="E802" s="12"/>
      <c r="F802" s="39">
        <v>4</v>
      </c>
      <c r="G802" s="38">
        <v>3</v>
      </c>
    </row>
    <row r="803" spans="1:8" x14ac:dyDescent="0.2">
      <c r="A803" s="125">
        <v>541</v>
      </c>
      <c r="C803" s="56" t="s">
        <v>329</v>
      </c>
      <c r="D803" s="12">
        <f t="shared" si="53"/>
        <v>2180</v>
      </c>
      <c r="E803" s="12"/>
      <c r="F803" s="39">
        <v>4</v>
      </c>
      <c r="G803" s="38">
        <v>3</v>
      </c>
    </row>
    <row r="804" spans="1:8" x14ac:dyDescent="0.2">
      <c r="A804" s="124">
        <v>542</v>
      </c>
      <c r="C804" s="56" t="s">
        <v>330</v>
      </c>
      <c r="D804" s="12">
        <f t="shared" si="53"/>
        <v>2180</v>
      </c>
      <c r="E804" s="12"/>
      <c r="F804" s="39">
        <v>4</v>
      </c>
      <c r="G804" s="38">
        <v>3</v>
      </c>
    </row>
    <row r="805" spans="1:8" x14ac:dyDescent="0.2">
      <c r="A805" s="124">
        <v>1411050719</v>
      </c>
      <c r="C805" s="116" t="s">
        <v>493</v>
      </c>
      <c r="D805" s="12">
        <f t="shared" si="53"/>
        <v>1635</v>
      </c>
      <c r="E805" s="12"/>
      <c r="F805" s="39">
        <v>3</v>
      </c>
      <c r="G805" s="38">
        <v>2.5</v>
      </c>
    </row>
    <row r="806" spans="1:8" x14ac:dyDescent="0.2">
      <c r="A806" s="124">
        <v>1412050719</v>
      </c>
      <c r="C806" s="116" t="s">
        <v>494</v>
      </c>
      <c r="D806" s="12">
        <f t="shared" si="53"/>
        <v>1635</v>
      </c>
      <c r="E806" s="12"/>
      <c r="F806" s="39">
        <v>3</v>
      </c>
      <c r="G806" s="38">
        <v>2.5</v>
      </c>
    </row>
    <row r="807" spans="1:8" ht="10.5" x14ac:dyDescent="0.2">
      <c r="A807" s="124">
        <v>1410220121</v>
      </c>
      <c r="C807" s="116" t="s">
        <v>574</v>
      </c>
      <c r="D807" s="12">
        <f t="shared" si="53"/>
        <v>1635</v>
      </c>
      <c r="E807" s="12"/>
      <c r="F807" s="39">
        <v>3</v>
      </c>
      <c r="G807" s="38">
        <v>2.5</v>
      </c>
      <c r="H807" s="154"/>
    </row>
    <row r="808" spans="1:8" ht="10.5" x14ac:dyDescent="0.2">
      <c r="A808" s="124">
        <v>1411220121</v>
      </c>
      <c r="C808" s="116" t="s">
        <v>575</v>
      </c>
      <c r="D808" s="12">
        <f t="shared" si="53"/>
        <v>1417</v>
      </c>
      <c r="E808" s="12"/>
      <c r="F808" s="39">
        <v>2.6</v>
      </c>
      <c r="G808" s="38">
        <v>1.94</v>
      </c>
      <c r="H808" s="154"/>
    </row>
    <row r="809" spans="1:8" ht="10.5" x14ac:dyDescent="0.2">
      <c r="A809" s="124">
        <v>1412220121</v>
      </c>
      <c r="C809" s="116" t="s">
        <v>577</v>
      </c>
      <c r="D809" s="12">
        <f t="shared" si="53"/>
        <v>1090</v>
      </c>
      <c r="E809" s="12"/>
      <c r="F809" s="39">
        <v>2</v>
      </c>
      <c r="G809" s="38">
        <v>1.7</v>
      </c>
      <c r="H809" s="154"/>
    </row>
    <row r="810" spans="1:8" ht="10.5" x14ac:dyDescent="0.2">
      <c r="A810" s="124">
        <v>1413220121</v>
      </c>
      <c r="C810" s="116" t="s">
        <v>576</v>
      </c>
      <c r="D810" s="12">
        <f t="shared" si="53"/>
        <v>1090</v>
      </c>
      <c r="E810" s="12"/>
      <c r="F810" s="39">
        <v>2</v>
      </c>
      <c r="G810" s="38">
        <v>1.7</v>
      </c>
      <c r="H810" s="154"/>
    </row>
    <row r="811" spans="1:8" ht="10.5" x14ac:dyDescent="0.2">
      <c r="A811" s="124">
        <v>1414220121</v>
      </c>
      <c r="C811" s="116" t="s">
        <v>578</v>
      </c>
      <c r="D811" s="12">
        <f t="shared" si="53"/>
        <v>1090</v>
      </c>
      <c r="E811" s="12"/>
      <c r="F811" s="39">
        <v>2</v>
      </c>
      <c r="G811" s="38">
        <v>1.7</v>
      </c>
      <c r="H811" s="154"/>
    </row>
    <row r="812" spans="1:8" x14ac:dyDescent="0.2">
      <c r="A812" s="124">
        <v>1413050719</v>
      </c>
      <c r="C812" s="116" t="s">
        <v>490</v>
      </c>
      <c r="D812" s="12">
        <f t="shared" si="53"/>
        <v>1090</v>
      </c>
      <c r="E812" s="12"/>
      <c r="F812" s="39">
        <v>2</v>
      </c>
      <c r="G812" s="38">
        <v>1.7</v>
      </c>
    </row>
    <row r="813" spans="1:8" x14ac:dyDescent="0.2">
      <c r="A813" s="124">
        <v>1414050719</v>
      </c>
      <c r="C813" s="116" t="s">
        <v>491</v>
      </c>
      <c r="D813" s="12">
        <f t="shared" si="53"/>
        <v>1090</v>
      </c>
      <c r="E813" s="12"/>
      <c r="F813" s="39">
        <v>2</v>
      </c>
      <c r="G813" s="38">
        <v>1.7</v>
      </c>
    </row>
    <row r="814" spans="1:8" x14ac:dyDescent="0.2">
      <c r="A814" s="124">
        <v>1410050719</v>
      </c>
      <c r="C814" s="116" t="s">
        <v>492</v>
      </c>
      <c r="D814" s="12">
        <f t="shared" si="53"/>
        <v>1362.5</v>
      </c>
      <c r="E814" s="12"/>
      <c r="F814" s="39">
        <v>2.5</v>
      </c>
      <c r="G814" s="38">
        <v>2</v>
      </c>
    </row>
    <row r="815" spans="1:8" x14ac:dyDescent="0.2">
      <c r="A815" s="125">
        <v>543</v>
      </c>
      <c r="C815" s="56" t="s">
        <v>331</v>
      </c>
      <c r="D815" s="12">
        <f t="shared" si="53"/>
        <v>1635</v>
      </c>
      <c r="E815" s="12"/>
      <c r="F815" s="39">
        <v>3</v>
      </c>
      <c r="G815" s="38">
        <v>2.25</v>
      </c>
    </row>
    <row r="816" spans="1:8" ht="10.5" thickBot="1" x14ac:dyDescent="0.25">
      <c r="A816" s="125">
        <v>544</v>
      </c>
      <c r="C816" s="61" t="s">
        <v>332</v>
      </c>
      <c r="D816" s="47">
        <f t="shared" si="53"/>
        <v>1471.5</v>
      </c>
      <c r="E816" s="47"/>
      <c r="F816" s="46">
        <v>2.7</v>
      </c>
      <c r="G816" s="74">
        <v>1.8</v>
      </c>
    </row>
  </sheetData>
  <mergeCells count="45">
    <mergeCell ref="C224:G224"/>
    <mergeCell ref="C265:G265"/>
    <mergeCell ref="C14:G14"/>
    <mergeCell ref="C60:G60"/>
    <mergeCell ref="C15:G15"/>
    <mergeCell ref="C64:G64"/>
    <mergeCell ref="C65:G65"/>
    <mergeCell ref="C124:G124"/>
    <mergeCell ref="C209:G209"/>
    <mergeCell ref="C112:G112"/>
    <mergeCell ref="C335:G335"/>
    <mergeCell ref="C400:G400"/>
    <mergeCell ref="C302:D302"/>
    <mergeCell ref="C310:G310"/>
    <mergeCell ref="C141:G141"/>
    <mergeCell ref="C198:G198"/>
    <mergeCell ref="C160:G160"/>
    <mergeCell ref="C164:G164"/>
    <mergeCell ref="C216:G216"/>
    <mergeCell ref="C389:G389"/>
    <mergeCell ref="C453:G453"/>
    <mergeCell ref="D463:G463"/>
    <mergeCell ref="C464:G464"/>
    <mergeCell ref="C502:G502"/>
    <mergeCell ref="C511:G511"/>
    <mergeCell ref="C690:G690"/>
    <mergeCell ref="C678:G678"/>
    <mergeCell ref="C551:G551"/>
    <mergeCell ref="D526:G526"/>
    <mergeCell ref="C519:G519"/>
    <mergeCell ref="C782:G782"/>
    <mergeCell ref="C597:G597"/>
    <mergeCell ref="C631:G631"/>
    <mergeCell ref="C649:G649"/>
    <mergeCell ref="C668:G668"/>
    <mergeCell ref="C737:G737"/>
    <mergeCell ref="C747:G747"/>
    <mergeCell ref="C696:G696"/>
    <mergeCell ref="C753:G753"/>
    <mergeCell ref="C527:G527"/>
    <mergeCell ref="C538:G538"/>
    <mergeCell ref="C544:G544"/>
    <mergeCell ref="D550:G550"/>
    <mergeCell ref="C734:G734"/>
    <mergeCell ref="C707:G707"/>
  </mergeCells>
  <phoneticPr fontId="0" type="noConversion"/>
  <hyperlinks>
    <hyperlink ref="C30" r:id="rId1" display="YOSAN CB-50 р/ст авто, 27МГц 200 каналов, АМ/ЧМ 8 Вт EU+ RU " xr:uid="{59826866-2BB2-4DBE-8257-EC9FAD1BCC8E}"/>
    <hyperlink ref="C33" r:id="rId2" xr:uid="{4A538D11-FBC2-4498-96F9-3AC0B52FD825}"/>
    <hyperlink ref="C35" r:id="rId3" xr:uid="{09FCFA75-9919-493E-8CE9-BD9CE6C5D296}"/>
    <hyperlink ref="C27" r:id="rId4" display="AnyTone AT-310M р/ст авто, 27МГц 240 каналов АМ.ЧМ, 8Вт EU+RU Гарантия 2 года!" xr:uid="{7DAFBB90-72CC-44F7-837C-63B8ECA26861}"/>
    <hyperlink ref="C39" r:id="rId5" display="YOSAN CB-300 р/ст авто, 27МГц 480 каналов АМ/ЧМ 8Вт EU+RU миниатюрная" xr:uid="{A1F43BBE-8D1B-4D11-8B44-3F54A4A168EC}"/>
    <hyperlink ref="C40" r:id="rId6" display="YOSAN JC-2204 Turbo р/ст авто, 27МГц 240+240 каналов, АМ/ЧМ9 Вт EU+ RU " xr:uid="{71E3B0E6-039E-422C-922F-22E4645948E7}"/>
    <hyperlink ref="C41" r:id="rId7" display="YOSAN CB-350 сверхминиатюрная р/ст авто, 27МГц 480 каналов АМ/ЧМ 5Вт EU+RU" xr:uid="{1F2AFF9F-371D-4CA1-AFCF-48D866075E1A}"/>
    <hyperlink ref="C43" r:id="rId8" display="AnyTone AT-608M р/ст авто, 27МГц 240+240 каналов, 8Вт, АМ/ЧМ, CTCSS/DCS, EU+RU  Гарантия 2 года!" xr:uid="{B0B25FBD-EB84-4B2A-B3EB-5ECB5B48BCC4}"/>
    <hyperlink ref="C47" r:id="rId9" display="AnyTone Apollo I р/ст авто, 27МГц АМ/ЧМ управление с микрофона  Гарантия 2 года!" xr:uid="{5A118401-6001-4478-8D25-5A484171C9E1}"/>
    <hyperlink ref="C44" r:id="rId10" xr:uid="{B0C8C635-FDAB-47B6-9FFF-B517AB82701C}"/>
    <hyperlink ref="C24" r:id="rId11" xr:uid="{55BF2588-74B6-4DC3-8E15-CCB466FA175D}"/>
    <hyperlink ref="C23" r:id="rId12" xr:uid="{686F3B93-AD8B-4E2B-B034-FC6040D844A1}"/>
    <hyperlink ref="C54" r:id="rId13" display="AnyTone AT-5289N р/ст авто, 27МГц 4/10/50Вт 25-30МГц EU+RU, CTCSS/DCS  Гарантия 2 года!" xr:uid="{2C8F7EE3-4C08-4553-BE3E-CC5C9FE8C604}"/>
    <hyperlink ref="C55" r:id="rId14" display="AnyTone AT-5555 р/ст авто, 25.615...30.105 МГц, AM/FM/SSB, 12 Вт AM, 50 Вт FM  Гарантия 2 года!" xr:uid="{54319AFB-5ACF-4D19-ABD6-95900A817D92}"/>
    <hyperlink ref="C153" r:id="rId15" xr:uid="{14F3709D-F49A-4536-B383-65E4CAE6C4A9}"/>
    <hyperlink ref="C150" r:id="rId16" display="Р/ст AnyTone AT-5189 400-490МГц, 250 каналов, 45/25/10 Вт  Гарантия 2 года!" xr:uid="{26BE288B-27CD-4A6E-8BB7-F3A8B581DDDB}"/>
    <hyperlink ref="C58" r:id="rId17" display="AnyTone AT-6666 р/ст авто, 25.615...30.105 МГц, AM/FM/SSB, 12 Вт AM, 50 Вт FM  Гарантия 2 года!" xr:uid="{12941617-A954-4F8E-BE1B-5C8138D6F2E1}"/>
    <hyperlink ref="C159" r:id="rId18" xr:uid="{31735472-74B5-4AC9-8BD3-DFB89CBDA036}"/>
    <hyperlink ref="C66" r:id="rId19" xr:uid="{23220A60-048F-45E7-B5F8-506223792CDC}"/>
    <hyperlink ref="C73" r:id="rId20" xr:uid="{7A1C8AAF-B6BA-4827-AA0F-7CCC3555EAD9}"/>
    <hyperlink ref="C72" r:id="rId21" xr:uid="{CA949299-655D-43D4-9DB7-C02F7144DF9C}"/>
    <hyperlink ref="C71" r:id="rId22" display="Р/ст Puxing PX-2R  400-470МГц, 2Вт, Li-Ion, 1100мАч, зарядное устройство, гарнитура" xr:uid="{C5888D09-E74A-48B7-90D6-46A09DFF0496}"/>
    <hyperlink ref="C77" r:id="rId23" display="Р/ст Baofeng UV-5R 136-174/400-480МГц, 5Вт, Li-Ion 1800мАч, зарядное устройство, на проверку 3 дня" xr:uid="{0AED3CC7-FEA8-40A7-B2DE-B300182A6322}"/>
    <hyperlink ref="C84" r:id="rId24" display="Р/ст AnyTone AT-628G Optim 400-480МГц, 3Вт, Li-Ion 1500мАч, зарядное устройство" xr:uid="{918A1520-8411-40B1-9CF7-22705F3840D1}"/>
    <hyperlink ref="C80" r:id="rId25" display="Р/ст AnyTone AT-3218G, 400-480МГц, 3Вт, Li-Ion 1500мАч, зарядное устройство, гарнитура  Гарантия 2 года!" xr:uid="{BB0A34DD-74C9-4018-84E4-35F1AB899844}"/>
    <hyperlink ref="C85" r:id="rId26" xr:uid="{1721F519-AE42-49E1-B6AE-8B09C38395F1}"/>
    <hyperlink ref="C79" r:id="rId27" xr:uid="{A074C5E0-8939-402F-A4C9-7EB0B1A0A580}"/>
    <hyperlink ref="C89" r:id="rId28" display="Р/ст Kirisun PT-260 400-470МГц, 5Вт, Li-Ion 1200мАч, зарядное устройство" xr:uid="{8F2CDE34-0B76-4A04-A481-B5633DA2A480}"/>
    <hyperlink ref="C91" r:id="rId29" xr:uid="{D83FCB00-0C88-4F8B-9C42-97EEF15C7687}"/>
    <hyperlink ref="C82" r:id="rId30" xr:uid="{9B8463A7-C53B-4E23-A38B-A53EE664C4CF}"/>
    <hyperlink ref="C92" r:id="rId31" display="Р/ст Climbmax EM-9735 136-174МГц 5Вт, Li-Ion 1500мАч, зарядное устройство" xr:uid="{44223A12-DCCC-43E4-8EA5-DB6AFBD99E1D}"/>
    <hyperlink ref="C96" r:id="rId32" xr:uid="{74B4D039-AB27-4D06-91EF-EDFECF55DF53}"/>
    <hyperlink ref="C95" r:id="rId33" xr:uid="{439EF9F1-B331-4B0E-B2FF-3AFBFC28A3CE}"/>
    <hyperlink ref="C98" r:id="rId34" xr:uid="{D475A12A-1179-4FFA-9D29-8997F44D2A21}"/>
    <hyperlink ref="C99" r:id="rId35" xr:uid="{73A53B4B-0F90-4C2C-BC48-BDD6FF4963EF}"/>
    <hyperlink ref="C101" r:id="rId36" display="Р/ст Quansheng TG-1680, 136-174МГц, 8Вт, Li-Pol 3500мАч, зарядное устройство" xr:uid="{096069C9-77BE-4E0C-A519-BF9EB34794E8}"/>
    <hyperlink ref="C100" r:id="rId37" display="Р/ст Quansheng TG-1680, 400-480МГц, 8Вт, Li-Pol 3500мАч, зарядное устройство" xr:uid="{6E1A39CD-C305-4E56-95AF-076AA69A90D3}"/>
    <hyperlink ref="C97" r:id="rId38" xr:uid="{884FA017-DAB0-47DD-8031-01794FBDEBBC}"/>
    <hyperlink ref="C103" r:id="rId39" xr:uid="{FFC6171F-6002-4CCA-BE00-067909C6A776}"/>
    <hyperlink ref="C102" r:id="rId40" xr:uid="{22286CB4-D3DC-4F64-B692-FEAA223174A2}"/>
    <hyperlink ref="C105" r:id="rId41" xr:uid="{4C8C0587-CDE1-44B8-8084-C0AC025964B0}"/>
    <hyperlink ref="C110" r:id="rId42" xr:uid="{AD2C5E04-0D13-49A6-AEEA-0F2FBD41D01A}"/>
    <hyperlink ref="C109" r:id="rId43" xr:uid="{1D2F7A12-15DC-4624-A86D-BD41F9513986}"/>
    <hyperlink ref="C108" r:id="rId44" display="Р/ст AnyTone AT-3318UV двухдиапазонная 136-174/400-480МГц 5Вт, Li-Ion 1800мАч зарядное устройство  Гарантия 2 года!" xr:uid="{6EBC6620-E44D-4DED-A5D3-B1865487BEEC}"/>
    <hyperlink ref="C162" r:id="rId45" xr:uid="{A8822818-35BF-4DE1-8E0D-9449F06B59D0}"/>
    <hyperlink ref="C163" r:id="rId46" xr:uid="{4972680F-6A19-4677-9455-7990B7D59619}"/>
    <hyperlink ref="C62" r:id="rId47" xr:uid="{4BD3663F-E2A8-4C80-BD6F-BF9B4C13636C}"/>
    <hyperlink ref="C63" r:id="rId48" display="Intek H-520Plus радиостанция носимая 27МГц 400+400 каналов EU+RU с автоадаптером" xr:uid="{E1DEE7F4-0827-4622-99C6-6275420DA9F9}"/>
    <hyperlink ref="C467" r:id="rId49" xr:uid="{BCAEEE4F-6289-457A-80A1-D07651F9A978}"/>
    <hyperlink ref="C470" r:id="rId50" xr:uid="{51342C63-A75A-45FE-B139-D39CCB02F13D}"/>
    <hyperlink ref="C474" r:id="rId51" xr:uid="{6D04E72A-91FF-4D70-A167-27FBE40C0683}"/>
    <hyperlink ref="C476" r:id="rId52" xr:uid="{3F7AD30F-6784-44F5-A983-ECEA1CF7F4DE}"/>
    <hyperlink ref="C480" r:id="rId53" xr:uid="{6BD0EE1E-E359-4FFB-8081-143182656133}"/>
    <hyperlink ref="C484" r:id="rId54" xr:uid="{DA077A4C-DB91-4585-ABDE-CFD19739B232}"/>
    <hyperlink ref="C488" r:id="rId55" xr:uid="{21F92974-F574-4912-AC2E-171727F88980}"/>
    <hyperlink ref="C468" r:id="rId56" xr:uid="{B6E807FE-FAE6-4C14-BE08-67C325477F34}"/>
    <hyperlink ref="C478" r:id="rId57" xr:uid="{92E337B3-5C87-4FD2-AB83-2AE55B10672A}"/>
    <hyperlink ref="C475" r:id="rId58" xr:uid="{7A9C7C1F-CD43-4B4F-9F0C-FF335A28FCAF}"/>
    <hyperlink ref="C483" r:id="rId59" xr:uid="{AC5EBFF9-8EE5-432D-93DB-1EFE74ED4BAC}"/>
    <hyperlink ref="C499" r:id="rId60" xr:uid="{6A730F7F-014E-4A9A-9F87-C462B04F9173}"/>
    <hyperlink ref="C465" r:id="rId61" xr:uid="{1E2FCE33-006E-4612-8E32-BAE8D7F4E2F5}"/>
    <hyperlink ref="C466" r:id="rId62" xr:uid="{C6CD7AC5-2003-4B58-85AB-01D53D024E51}"/>
    <hyperlink ref="C473" r:id="rId63" xr:uid="{7DB3E8F5-CB2D-4AE5-848D-9F68B9F6E1E3}"/>
    <hyperlink ref="C479" r:id="rId64" xr:uid="{34808867-55F7-43BB-B7B0-AD3CCA420264}"/>
    <hyperlink ref="C493" r:id="rId65" display="AnyTone AT-6200D Репитер DCS/4G/LTE покрытие до 800 кв.м." xr:uid="{10D181CC-DBF6-494C-AED4-B7B1E945C1B0}"/>
    <hyperlink ref="C482" r:id="rId66" xr:uid="{95152A83-E2EB-4ADF-B064-41A6394F9488}"/>
    <hyperlink ref="C489" r:id="rId67" xr:uid="{E70E01A5-378B-4F22-85F7-A02B3BEAC9FE}"/>
    <hyperlink ref="C494" r:id="rId68" xr:uid="{4AC13D6B-3B79-494C-B3A1-EFD45D0FA60F}"/>
    <hyperlink ref="C495" r:id="rId69" xr:uid="{F1BDC995-60B5-43FA-BC1B-068B1C97437B}"/>
    <hyperlink ref="C497" r:id="rId70" xr:uid="{04B319A0-8AD9-4496-BB3F-80345655C947}"/>
    <hyperlink ref="C481" r:id="rId71" xr:uid="{819D029A-1BF1-45EA-BFDC-70580749A10C}"/>
    <hyperlink ref="C490" r:id="rId72" xr:uid="{30AD563A-0529-48C4-BFD7-F72050D691BD}"/>
    <hyperlink ref="C496" r:id="rId73" xr:uid="{4BF97424-5073-4BAA-9FD9-7D81FFB5ECD1}"/>
    <hyperlink ref="C498" r:id="rId74" xr:uid="{DCCE1279-A6FB-4C93-B502-65137F29B59A}"/>
    <hyperlink ref="C500" r:id="rId75" xr:uid="{BA7A8852-9BD4-49E6-BC72-73938496B63C}"/>
    <hyperlink ref="C469" r:id="rId76" xr:uid="{1E1F6723-E3C1-4E5C-BF8B-AEF1C0091267}"/>
    <hyperlink ref="C471" r:id="rId77" xr:uid="{B2C92AE4-2E40-44C5-B266-1D5088556283}"/>
    <hyperlink ref="C472" r:id="rId78" xr:uid="{2C731C18-828E-4214-AEE2-72A143AF5875}"/>
    <hyperlink ref="C740" r:id="rId79" display="Кабель коаксиальный Teleconn RG-58 50 Ом" xr:uid="{6DB4B59B-2D61-4FA6-8071-47E96E08C6CA}"/>
    <hyperlink ref="C744" r:id="rId80" xr:uid="{E8E61732-C3C0-4B97-9EAE-784AB8C56F42}"/>
    <hyperlink ref="C742" r:id="rId81" display="Кабель коаксиальный Teleconn RG-213 50 Ом " xr:uid="{1BEF11A0-7CD9-43C3-9DD0-9F27B03184A6}"/>
    <hyperlink ref="C745" r:id="rId82" xr:uid="{7F8E3349-D02A-46DD-B499-1D2040A70651}"/>
    <hyperlink ref="C746" r:id="rId83" xr:uid="{4367A306-8FED-41BC-811A-5155E46F9189}"/>
    <hyperlink ref="C743" r:id="rId84" xr:uid="{8B518320-6227-4447-8305-0FF4E5401AA0}"/>
    <hyperlink ref="C632" r:id="rId85" xr:uid="{C4869641-E5C4-4BA6-AE96-DEACC1CE6D4A}"/>
    <hyperlink ref="C633" r:id="rId86" xr:uid="{0CE7FFE7-0431-4B4F-BE7A-D66CFAA1ABF6}"/>
    <hyperlink ref="C634" r:id="rId87" xr:uid="{E8212E85-1D90-4E78-9A10-4EC1FDAAC996}"/>
    <hyperlink ref="C635" r:id="rId88" xr:uid="{2E35DE7E-A68C-4666-A9AB-3EFE0139F687}"/>
    <hyperlink ref="C637" r:id="rId89" xr:uid="{9415E646-0AC9-439B-9C89-6B02F2854D24}"/>
    <hyperlink ref="C638" r:id="rId90" xr:uid="{12837289-DA41-4B98-9291-1E7667985C19}"/>
    <hyperlink ref="C639" r:id="rId91" xr:uid="{0B322469-9593-4F5E-A0A1-FDD2E69714EE}"/>
    <hyperlink ref="C640" r:id="rId92" xr:uid="{B3CD07CE-33AF-4FD3-A889-03007BA194E4}"/>
    <hyperlink ref="C641" r:id="rId93" xr:uid="{FD84AEF7-1906-47D8-9093-4D3F7F9EBBDC}"/>
    <hyperlink ref="C642" r:id="rId94" xr:uid="{0B80E248-DAA7-4F8E-809E-56FCD78660E5}"/>
    <hyperlink ref="C643" r:id="rId95" xr:uid="{4A13167B-6E62-4476-A7EF-50FF2FCC31AC}"/>
    <hyperlink ref="C644" r:id="rId96" xr:uid="{599F2597-E46F-429F-9BA0-2D31B3316232}"/>
    <hyperlink ref="C646" r:id="rId97" xr:uid="{253E865E-6373-4399-9BBA-6A2B10674447}"/>
    <hyperlink ref="C645" r:id="rId98" xr:uid="{3FFC9443-3155-4DC1-9CAF-F10DB23FCFD3}"/>
    <hyperlink ref="C647" r:id="rId99" xr:uid="{3EE9A797-0F09-4C00-BF3E-09A5DA96F9EB}"/>
    <hyperlink ref="C663" r:id="rId100" display="APS-1210 Блок питания импульсный 13.5V 10A" xr:uid="{2F4E5DEB-C64B-46AE-9FF1-F67B3A5018D4}"/>
    <hyperlink ref="C665" r:id="rId101" display="APS-1220 Блок питания импульсный 13.5V 20A" xr:uid="{865EF881-2959-4B5F-B706-64645DF4D5B0}"/>
    <hyperlink ref="C666" r:id="rId102" display="RM SPS1030S  Блок питания импульсный регуируемый 9-15V 30A" xr:uid="{9717AEE2-E037-48B1-B228-61297FF81118}"/>
    <hyperlink ref="C667" r:id="rId103" display="RM SPS1050S Блок питания импульсный регулиремый  9-15V 55A" xr:uid="{67370BC7-28A9-473C-B9FA-EF80DF3E0241}"/>
    <hyperlink ref="C669" r:id="rId104" display="RM RT5 Преобразователь напряжения 24/12В 5A Италия" xr:uid="{59836B9A-9B1B-4511-A031-7AEC1BFF88CA}"/>
    <hyperlink ref="C670" r:id="rId105" display="RM RT10 Преобразователь напряжения 24В/12В 10A Италия" xr:uid="{793F7099-3269-4B5C-BD49-8E4813AB11D5}"/>
    <hyperlink ref="C671" r:id="rId106" display="DC-15 Преобразователь напряжения 24/12В 15А Тайвань" xr:uid="{1A65E533-3D4C-43DE-AD18-6442D3B48E61}"/>
    <hyperlink ref="C672" r:id="rId107" display="RM RT16 Преобразователь напряжения 24V/12V 16A Италия" xr:uid="{D9F62DA4-8B93-4BB7-9902-039356627784}"/>
    <hyperlink ref="C673" r:id="rId108" display="DC-20 Преобразователь напряжения 24/12В 20А Тайвань" xr:uid="{1CE01119-E9D9-434D-B8AF-F176DFB61132}"/>
    <hyperlink ref="C674" r:id="rId109" display="DC-30 Преобразователь напряжения 24/12В 30А Тайвань" xr:uid="{DAADBFAC-6DD6-407B-AFBB-A540BC160EA1}"/>
    <hyperlink ref="C675" r:id="rId110" display="DC-40 Преобразователь напряжения 24/12В 40А Тайвань" xr:uid="{4C530094-66B2-41C5-9FD9-D96835D99C8C}"/>
    <hyperlink ref="C676" r:id="rId111" display="RM-RT30SW Преобразователь напряжения 24/12В 35А Италия" xr:uid="{44DD3B6B-B2E2-4FBB-9284-166DC28A9880}"/>
    <hyperlink ref="C677" r:id="rId112" display="RM RTG25/48 Преобразователь напряжения 48V/12V 25А Италия" xr:uid="{F09A39A4-B9E2-4856-82D1-54D12EC08CFA}"/>
    <hyperlink ref="C456" r:id="rId113" xr:uid="{68284879-3710-4FA9-86B3-E61B1C0BB6D3}"/>
    <hyperlink ref="C454" r:id="rId114" xr:uid="{B31AC525-1429-4B1E-847B-059AF0149607}"/>
    <hyperlink ref="C455" r:id="rId115" xr:uid="{B7652A1E-56D5-4F39-B937-585C415B2F30}"/>
    <hyperlink ref="C457" r:id="rId116" xr:uid="{670AA059-505B-4C97-A204-CC7183B4623E}"/>
    <hyperlink ref="C447" r:id="rId117" xr:uid="{FC3DAD79-F7BA-47A0-8857-52D4AD939C59}"/>
    <hyperlink ref="C445" r:id="rId118" xr:uid="{19BD3717-58E4-4846-9EA5-B3A59B08EAEA}"/>
    <hyperlink ref="C461" r:id="rId119" display="Кабельная сборка50 Ом N-male/RG-58 10м/SMA-male " xr:uid="{7948BC98-31B2-4A35-9F0F-066BC9646AD0}"/>
    <hyperlink ref="C462" r:id="rId120" xr:uid="{39FBFA72-B38A-4F9A-9AAB-1AE0D1D707A0}"/>
    <hyperlink ref="C509" r:id="rId121" display="Termit pbxGate GSM V2 GSM-шлюз GSM900/1800" xr:uid="{294E99FC-C234-41BC-86BA-BCBCD37F7489}"/>
    <hyperlink ref="C530" r:id="rId122" xr:uid="{2583967F-364C-40F0-B2A2-46CAD0D6AA99}"/>
    <hyperlink ref="C531" r:id="rId123" xr:uid="{B04B8FCC-B91E-4AF4-A01A-906DDFCAA0C1}"/>
    <hyperlink ref="C532" r:id="rId124" xr:uid="{91A8932C-5C77-49D7-8528-51CF4807EABA}"/>
    <hyperlink ref="C533" r:id="rId125" xr:uid="{650EABD5-9A08-4321-92A5-11C59BBC1037}"/>
    <hyperlink ref="C534" r:id="rId126" xr:uid="{44BFECB2-A895-4C1E-97EB-81235F80F6E6}"/>
    <hyperlink ref="C535" r:id="rId127" xr:uid="{8B7D21A7-9B3F-4989-92B4-887B5A72106D}"/>
    <hyperlink ref="C536" r:id="rId128" xr:uid="{2B3DC9AD-5F71-4FF3-82E6-10F5C0F02415}"/>
    <hyperlink ref="C543" r:id="rId129" xr:uid="{E9C9D7AE-D215-44EA-94F6-94B54D1CA112}"/>
    <hyperlink ref="C528" r:id="rId130" xr:uid="{A30657AF-681F-44AF-8B38-70841D700357}"/>
    <hyperlink ref="C539" r:id="rId131" xr:uid="{78140FDE-DBF4-4C68-9144-136B1B185D3A}"/>
    <hyperlink ref="C540" r:id="rId132" xr:uid="{9D50C3BF-8465-4679-A4DB-47335200D2D8}"/>
    <hyperlink ref="C541" r:id="rId133" xr:uid="{61725240-4BD5-45AC-8D2D-A36FDDB780EB}"/>
    <hyperlink ref="C542" r:id="rId134" xr:uid="{8E7A3260-CE97-47ED-8898-194AFD5685F4}"/>
    <hyperlink ref="C548" r:id="rId135" xr:uid="{F3C79A07-FF36-43DC-9EB6-9922EF51D7FE}"/>
    <hyperlink ref="C547" r:id="rId136" xr:uid="{086AE3F2-421E-464A-92B1-F72D7B6866C5}"/>
    <hyperlink ref="C549" r:id="rId137" xr:uid="{6E656BF3-DC18-4971-808F-6A63144A75A3}"/>
    <hyperlink ref="C651" r:id="rId138" xr:uid="{2DDFAC31-3A0C-434B-A1A5-1972823AAF78}"/>
    <hyperlink ref="C652" r:id="rId139" xr:uid="{B0BCFF7D-99C8-4BC5-88EA-E724AB214761}"/>
    <hyperlink ref="C654" r:id="rId140" xr:uid="{5105454C-8B80-4CC9-98E6-AE7096CD7D06}"/>
    <hyperlink ref="C653" r:id="rId141" xr:uid="{9B8915D4-D924-4C7B-9634-524AE16BC6A0}"/>
    <hyperlink ref="C655" r:id="rId142" xr:uid="{0A4D1ABC-C684-4A44-AC42-8C42FCB0AF92}"/>
    <hyperlink ref="C656" r:id="rId143" xr:uid="{4F1F0813-3C85-4AE9-8B80-11FF32704B2B}"/>
    <hyperlink ref="C657" r:id="rId144" xr:uid="{C8339979-AAA7-4CAF-AAAD-B57D47DAA7C6}"/>
    <hyperlink ref="C658" r:id="rId145" xr:uid="{1DF066B2-D29C-4534-A032-474D2950AD77}"/>
    <hyperlink ref="C659" r:id="rId146" xr:uid="{3C3A5968-14A3-417E-AE0E-000ADEBFB13E}"/>
    <hyperlink ref="C758" r:id="rId147" display="LEIXEN N8 частотомер портативный 1-1000МГц" xr:uid="{9A7E751F-D464-44F1-8604-380CADC0F633}"/>
    <hyperlink ref="C754" r:id="rId148" display="ANTA-823 измеритель КСВ " xr:uid="{62DA3508-3D77-42B9-892B-7EBD43978415}"/>
    <hyperlink ref="C756" r:id="rId149" xr:uid="{026C38DD-4281-49E3-B549-B4DE7790E4E6}"/>
    <hyperlink ref="C759" r:id="rId150" display="NISSEI RS-40 измеритель КСВ и мощности 140-150/430-450МГц  15/60/200Вт" xr:uid="{A2D55AF6-BD47-4829-B58B-212D1FDA1D8E}"/>
    <hyperlink ref="C760" r:id="rId151" display="NISSEI RS-27 измеритель КСВ и мощности 26-30МГц 10/100/1000Вт" xr:uid="{B8ECAA8F-8ECA-4EB8-B88C-22241ABEF6F4}"/>
    <hyperlink ref="C761" r:id="rId152" display="NISSEI RX-103 измеритель КСВ и мощности 1.6-60МГц 20/200/2000Вт" xr:uid="{8BD8B5C4-B012-42BB-B8A0-5985D3111A93}"/>
    <hyperlink ref="C762" r:id="rId153" display="NISSEI RX-203 измеритель КСВ и мощности 1.8-200МГц 2/20/200Вт" xr:uid="{201CCDDA-BA8A-4656-B87F-D52211B4AC3D}"/>
    <hyperlink ref="C763" r:id="rId154" display="NISSEI RX-403 измеритель КСВ и мощности 125-525МГц 2/20/200Вт" xr:uid="{D3ACD189-A118-4142-93C6-807EE226F6A7}"/>
    <hyperlink ref="C764" r:id="rId155" display="NISSEI RX-503 измеритель КСВ и мощности 1.8-525МГц 2/20/200Вт" xr:uid="{7ADCEC76-9DE0-4DB1-93C6-A882F121C8FC}"/>
    <hyperlink ref="C757" r:id="rId156" xr:uid="{3914B10B-45C7-40B8-8517-48948CBAACC0}"/>
    <hyperlink ref="C692" r:id="rId157" xr:uid="{56D79849-22F5-4A60-AA0B-9319EB82D99D}"/>
    <hyperlink ref="C691" r:id="rId158" xr:uid="{8D52BBF1-A198-49A1-AAB7-16682AAE4311}"/>
    <hyperlink ref="C598" r:id="rId159" xr:uid="{CB89E94A-F1C1-4928-BA86-37DB3A75745D}"/>
    <hyperlink ref="C606" r:id="rId160" xr:uid="{1D87ADB5-E30D-4AC0-A2A6-EB4BC1D3911F}"/>
    <hyperlink ref="C607" r:id="rId161" xr:uid="{A3D33BBB-2977-4BA8-8454-2EA7DA72B8B5}"/>
    <hyperlink ref="C611" r:id="rId162" xr:uid="{D704CD9A-3260-4E43-98E1-FE635CBBB1A9}"/>
    <hyperlink ref="C618" r:id="rId163" xr:uid="{D5A23CE8-2C79-4FF5-97A3-B06EB5733482}"/>
    <hyperlink ref="C617" r:id="rId164" xr:uid="{DEE8718D-63A5-4C46-9CC8-84C92E356912}"/>
    <hyperlink ref="C624" r:id="rId165" display="QB-35L аккумуляторная батарея li-ion 2200 мАч для AT-298" xr:uid="{9E900EEE-1B2F-4F29-9CB9-A8E467B533A1}"/>
    <hyperlink ref="C619" r:id="rId166" xr:uid="{A8ED8750-2E53-47D6-990F-BAC04C2CC7BB}"/>
    <hyperlink ref="C625" r:id="rId167" xr:uid="{96F73414-C47A-417D-BF2B-B99E09E85CE0}"/>
    <hyperlink ref="C800" r:id="rId168" xr:uid="{5130CBFB-E9F2-4AF2-BBCD-B4FB1698A463}"/>
    <hyperlink ref="C816" r:id="rId169" xr:uid="{159C544F-3C98-433A-8509-1A61D223D08E}"/>
    <hyperlink ref="C815" r:id="rId170" xr:uid="{2A7E21EF-6D7F-4887-BB96-7EC4359DA7B2}"/>
    <hyperlink ref="C803" r:id="rId171" xr:uid="{9FA0FD39-52B7-4270-94EE-E8474F16D9B4}"/>
    <hyperlink ref="C804" r:id="rId172" xr:uid="{1FC01064-6D8C-460F-94ED-D11BE8144F9B}"/>
    <hyperlink ref="C801" r:id="rId173" xr:uid="{015F4391-B5FC-44C4-AD42-C7B4CA5D8FE8}"/>
    <hyperlink ref="C792" r:id="rId174" xr:uid="{83609B12-6B43-4369-B795-537AEBD8F6B6}"/>
    <hyperlink ref="C790" r:id="rId175" xr:uid="{8098E51C-8A29-48BC-914C-F6326EB41171}"/>
    <hyperlink ref="C789" r:id="rId176" xr:uid="{88386D70-CB30-4055-87AA-D6D66A4DABEF}"/>
    <hyperlink ref="C793" r:id="rId177" xr:uid="{4325562B-593F-41A2-BBA0-521CFC3983AA}"/>
    <hyperlink ref="C796" r:id="rId178" xr:uid="{2950AE06-203F-48DE-B798-63E1B1EE4294}"/>
    <hyperlink ref="C795" r:id="rId179" xr:uid="{A946BC8D-9AA3-4F04-A687-50774E8C6465}"/>
    <hyperlink ref="C797" r:id="rId180" xr:uid="{9DAF8F67-48BD-40B6-98FC-EBC7FB027B93}"/>
    <hyperlink ref="C798" r:id="rId181" xr:uid="{12D58377-338B-4FEF-9B0E-D42E666CF7D1}"/>
    <hyperlink ref="C791" r:id="rId182" xr:uid="{26FB5C06-AD30-484F-9267-62D4D8576AE0}"/>
    <hyperlink ref="C788" r:id="rId183" xr:uid="{C5223D92-388A-48D4-A0F5-E538637AF1E7}"/>
    <hyperlink ref="C708" r:id="rId184" xr:uid="{D1823D38-5822-48AD-AC8E-76E2CDB82443}"/>
    <hyperlink ref="C719" r:id="rId185" xr:uid="{41CFA33D-00BA-4E04-8725-3FBA8E0DDE9A}"/>
    <hyperlink ref="C726" r:id="rId186" xr:uid="{D956EFB4-38E7-4F06-B352-45D6E8406B2F}"/>
    <hyperlink ref="C733" r:id="rId187" xr:uid="{554C3923-001C-419E-881A-98CD9F97C4F5}"/>
    <hyperlink ref="C396" r:id="rId188" xr:uid="{EC5767F0-2A31-4FB1-83F9-4579BF1EA1EC}"/>
    <hyperlink ref="C390" r:id="rId189" xr:uid="{F8346B1E-301D-4D6E-9664-C206D1B54103}"/>
    <hyperlink ref="C391" r:id="rId190" xr:uid="{3812A994-7B7D-4ED9-A56C-1004DDBB8837}"/>
    <hyperlink ref="C392" r:id="rId191" xr:uid="{BC0FD5C8-5641-45CD-82B6-253F10E41F35}"/>
    <hyperlink ref="C393" r:id="rId192" xr:uid="{0B49921B-C8AB-4860-92E0-3CBF5031A46E}"/>
    <hyperlink ref="C397" r:id="rId193" xr:uid="{88BE1605-9B17-4954-9BEE-C7CEF7905B89}"/>
    <hyperlink ref="C786" r:id="rId194" xr:uid="{2591DE58-2089-4610-897E-F462573A153E}"/>
    <hyperlink ref="C752" r:id="rId195" xr:uid="{4D1FF275-F5A6-475A-B795-210B7915DD46}"/>
    <hyperlink ref="C751" r:id="rId196" xr:uid="{362DC9DB-F174-4A05-8E98-02648632754A}"/>
    <hyperlink ref="C748" r:id="rId197" xr:uid="{11CF8CE0-C561-4E60-B321-D6FFB27EA2F8}"/>
    <hyperlink ref="C749" r:id="rId198" xr:uid="{8FEDA593-12A2-48AF-BADE-9AF704D8F009}"/>
    <hyperlink ref="C750" r:id="rId199" xr:uid="{12C698C0-A036-4A43-82E9-FBA49D57FA86}"/>
    <hyperlink ref="C698" r:id="rId200" xr:uid="{CB37CDE4-D68A-4B47-BBD4-2229E07F9C93}"/>
    <hyperlink ref="C697" r:id="rId201" xr:uid="{0E64882E-6944-49FC-9003-E65648FAC56A}"/>
    <hyperlink ref="C443" r:id="rId202" xr:uid="{0CFBDEF5-3B6D-48E1-8171-0C8D0BF0B8B4}"/>
    <hyperlink ref="C442" r:id="rId203" xr:uid="{90046193-E16A-4E3B-91DA-11EAA7B1834A}"/>
    <hyperlink ref="C699" r:id="rId204" xr:uid="{80E20B6E-48AD-45F6-ADD3-3ABF041E8119}"/>
    <hyperlink ref="C700" r:id="rId205" xr:uid="{0A51B4DF-1606-477B-A236-EB366042625D}"/>
    <hyperlink ref="C701" r:id="rId206" xr:uid="{A0A8FF5C-7807-4615-B674-381765EFBB6A}"/>
    <hyperlink ref="C702" r:id="rId207" xr:uid="{B4310C4A-9320-4F21-905B-56AE13F0FEA2}"/>
    <hyperlink ref="C703" r:id="rId208" xr:uid="{80B3249E-42BD-4737-9386-323E281DF3A6}"/>
    <hyperlink ref="C704" r:id="rId209" xr:uid="{B67DF0AE-6B1B-4AFF-8A1F-269734BB261F}"/>
    <hyperlink ref="C705" r:id="rId210" xr:uid="{2A846830-F2E7-42D9-B656-9A0DB617BD9F}"/>
    <hyperlink ref="C706" r:id="rId211" xr:uid="{9AADD5AB-44F1-4C6E-AA49-5BEE10C20137}"/>
    <hyperlink ref="C787" r:id="rId212" xr:uid="{76DBBC3F-DDE2-4A95-AE3A-36725A6BB75C}"/>
    <hyperlink ref="C784" r:id="rId213" xr:uid="{57927725-268E-48FC-9DB9-11F6F9922006}"/>
    <hyperlink ref="C783" r:id="rId214" xr:uid="{0253663F-EC8F-4FDE-93AE-56C5E491B839}"/>
    <hyperlink ref="C650" r:id="rId215" xr:uid="{3B543C42-173A-4652-90DC-2EEEE908A6A7}"/>
    <hyperlink ref="C577" r:id="rId216" xr:uid="{A965AAD9-1FF5-45FB-BDFF-E4FC29756167}"/>
    <hyperlink ref="C572" r:id="rId217" xr:uid="{713EBAFD-7E72-4F40-A554-5BEB2FD22CA5}"/>
    <hyperlink ref="C576" r:id="rId218" xr:uid="{1E71933B-049E-43B9-B20C-A4C67D2FECE1}"/>
    <hyperlink ref="C575" r:id="rId219" xr:uid="{CE5A9937-BC21-4DCC-9057-DF2B885377D8}"/>
    <hyperlink ref="C571" r:id="rId220" xr:uid="{DD39BF3F-6662-4E29-AF00-3BBBF59A9809}"/>
    <hyperlink ref="C582" r:id="rId221" xr:uid="{34295E5B-FDF0-44F4-AFD2-7B3A4D7C6380}"/>
    <hyperlink ref="C570" r:id="rId222" xr:uid="{083AA794-1F34-4545-9CD0-1545CE6BBBA0}"/>
    <hyperlink ref="C569" r:id="rId223" xr:uid="{8441F0F5-08A6-4DF1-A325-F5AE175238C9}"/>
    <hyperlink ref="C566" r:id="rId224" xr:uid="{D83989A4-275E-42B6-9251-D1B7BC0763B6}"/>
    <hyperlink ref="C563" r:id="rId225" xr:uid="{23450F9B-93B3-4AC3-947E-5EFE840D597A}"/>
    <hyperlink ref="C562" r:id="rId226" xr:uid="{244CBEA7-A761-4887-92AF-1C6A5C4F8C31}"/>
    <hyperlink ref="C561" r:id="rId227" xr:uid="{76298D7F-4C94-49C3-8ED5-3FA20669A23A}"/>
    <hyperlink ref="C560" r:id="rId228" xr:uid="{B3F4732D-B147-4B44-AE7B-519B79EFE710}"/>
    <hyperlink ref="C580" r:id="rId229" xr:uid="{9FC3C39B-6F0E-41AC-9109-6FC3FFAB2DD3}"/>
    <hyperlink ref="C583" r:id="rId230" xr:uid="{5BA88282-2014-41BC-B863-CCE28B381330}"/>
    <hyperlink ref="C585" r:id="rId231" display="Гарнитура для Yosan JC-600Plus" xr:uid="{F93B630F-7AC6-4E48-81EF-1D4834C1671A}"/>
    <hyperlink ref="C588" r:id="rId232" xr:uid="{886D95FB-B15B-4D4E-BFD1-88CE3309A41B}"/>
    <hyperlink ref="C558" r:id="rId233" xr:uid="{5318F359-FE74-4288-B3C6-442FB022BB17}"/>
    <hyperlink ref="C591" r:id="rId234" xr:uid="{4BDFAF21-48F4-42D3-8B9B-7A44A25E7CAE}"/>
    <hyperlink ref="C594" r:id="rId235" display="Гарнитура для AnyTone AT-5189 c DTMF клавиатурой" xr:uid="{08BCF4F9-3724-44BD-9E49-366E3DA0ACF5}"/>
    <hyperlink ref="C596" r:id="rId236" xr:uid="{CE30F5AF-D5DD-4853-9304-157452A85D55}"/>
    <hyperlink ref="C581" r:id="rId237" xr:uid="{80910AD7-ED3D-4D7C-B885-3DF534ECE598}"/>
    <hyperlink ref="C401" r:id="rId238" xr:uid="{14317C75-D805-4177-8BB2-663C970119DD}"/>
    <hyperlink ref="C402" r:id="rId239" xr:uid="{F3E6AF76-7611-441A-967D-4129C3F89D75}"/>
    <hyperlink ref="C415" r:id="rId240" display="Антенна для AT-518 400-480МГц" xr:uid="{1745B948-8510-4188-9C5C-A5C9DDE983B2}"/>
    <hyperlink ref="C409" r:id="rId241" xr:uid="{68534E4E-C78C-4DBD-8400-2BD3D8563D17}"/>
    <hyperlink ref="C412" r:id="rId242" xr:uid="{CD175A0B-4111-4F72-9D89-515586794E61}"/>
    <hyperlink ref="C417" r:id="rId243" display="Антенна для AT-288/АТ-289 136-174МГц" xr:uid="{FC8005F5-F641-4D8F-ABE1-D6C1C55106A7}"/>
    <hyperlink ref="C407" r:id="rId244" xr:uid="{FB95E299-0C2B-4F7A-8F16-F2FC92A23201}"/>
    <hyperlink ref="C408" r:id="rId245" xr:uid="{09D1F524-E840-42FF-9FFA-892FDD9DAD60}"/>
    <hyperlink ref="C416" r:id="rId246" xr:uid="{7CC3E639-29EE-44D2-A123-F122263F2B89}"/>
    <hyperlink ref="C419" r:id="rId247" xr:uid="{A837AAEB-2D90-42E5-BB87-B0C0746E5916}"/>
    <hyperlink ref="C414" r:id="rId248" xr:uid="{A4C3B7D9-DC5B-4F39-A9F0-208B2A04F58C}"/>
    <hyperlink ref="C422" r:id="rId249" xr:uid="{7699C59B-3BED-44D9-8FD9-80729E02A177}"/>
    <hyperlink ref="C426" r:id="rId250" xr:uid="{114E5BAB-1BD0-479E-BCF9-552F291F549B}"/>
    <hyperlink ref="C433" r:id="rId251" xr:uid="{B2F01926-84D1-4523-A442-C9F19C053343}"/>
    <hyperlink ref="C439" r:id="rId252" xr:uid="{9F8A4FA9-CABC-40F2-916C-325FCF5D08D0}"/>
    <hyperlink ref="C440" r:id="rId253" xr:uid="{A45E152A-B5A2-4DB0-AE7B-B5F1C017F297}"/>
    <hyperlink ref="C427" r:id="rId254" xr:uid="{E4C8A1C4-C16F-40E2-BDE7-8D61E5947015}"/>
    <hyperlink ref="C331" r:id="rId255" xr:uid="{00BF4741-293D-41D0-9ADF-FA075B331B0E}"/>
    <hyperlink ref="C382" r:id="rId256" xr:uid="{7FE43E48-80E3-46EA-919F-3A31A079CFD5}"/>
    <hyperlink ref="C320" r:id="rId257" xr:uid="{39EEBB6A-4A5E-4AB4-B446-848F130B4C37}"/>
    <hyperlink ref="C326" r:id="rId258" xr:uid="{D2B06E17-0DFC-485B-B504-5A57D2DFE5BE}"/>
    <hyperlink ref="C325" r:id="rId259" xr:uid="{DE65643A-ECE9-42E0-BAF1-4B32A3F64F87}"/>
    <hyperlink ref="C328" r:id="rId260" xr:uid="{6E03A3C9-74B3-4402-89DD-5FD247A6CB9A}"/>
    <hyperlink ref="C329" r:id="rId261" xr:uid="{8C568AE6-BA39-4196-A9F4-A8AEEFD3C7CB}"/>
    <hyperlink ref="C330" r:id="rId262" xr:uid="{53CF0A3C-50DE-4870-A979-C0680F11DC1F}"/>
    <hyperlink ref="C305" r:id="rId263" xr:uid="{4FFE2F3D-E85F-4117-8E2C-D8AD77799476}"/>
    <hyperlink ref="C306" r:id="rId264" xr:uid="{12E2C85C-5FBF-4676-A95E-1E7DB8308C44}"/>
    <hyperlink ref="C307" r:id="rId265" xr:uid="{CEF7BF24-C611-489A-B07E-8AE26FF4FF69}"/>
    <hyperlink ref="C308" r:id="rId266" xr:uid="{4DDFBE24-019A-46D1-88AF-0C21F3AC019E}"/>
    <hyperlink ref="C309" r:id="rId267" xr:uid="{B22700C3-4421-489C-8D52-6EAB4D3EEE47}"/>
    <hyperlink ref="C384" r:id="rId268" xr:uid="{33C61ABF-1FCD-402A-9855-E0ACDCC10393}"/>
    <hyperlink ref="C385" r:id="rId269" xr:uid="{F14A2199-D555-4117-83CC-4A98483DDD7B}"/>
    <hyperlink ref="C340" r:id="rId270" xr:uid="{4FE6F41E-D0C1-4C81-98FC-614DD9B101C7}"/>
    <hyperlink ref="C344" r:id="rId271" xr:uid="{61BB2AFB-48F8-47AF-80D4-AC0A344C1FF9}"/>
    <hyperlink ref="C343" r:id="rId272" xr:uid="{C7664E0A-8887-4B60-9261-23C4089D00BD}"/>
    <hyperlink ref="C346" r:id="rId273" xr:uid="{56C20BF7-EEA6-4CE4-958C-44C7E84CD913}"/>
    <hyperlink ref="C345" r:id="rId274" xr:uid="{538D396B-2673-4E9E-AE62-94A8A86CD5E5}"/>
    <hyperlink ref="C364" r:id="rId275" xr:uid="{47D0B2E3-18AE-4340-B6DD-5EA84C7848A0}"/>
    <hyperlink ref="C370" r:id="rId276" xr:uid="{D26A8899-E3AD-4604-80B0-10B44C160630}"/>
    <hyperlink ref="C369" r:id="rId277" xr:uid="{76BAD074-D20D-4671-BA4B-0565D881AB0E}"/>
    <hyperlink ref="C373" r:id="rId278" xr:uid="{2519B956-73EC-4E67-9F3F-4BE05CE31F53}"/>
    <hyperlink ref="C375" r:id="rId279" xr:uid="{37F488FB-8ABB-4114-9C0D-E6AC6EFFFA6C}"/>
    <hyperlink ref="C374" r:id="rId280" xr:uid="{70889502-DE9B-4EAB-904E-008EC21F870A}"/>
    <hyperlink ref="C379" r:id="rId281" xr:uid="{DA8C1B46-6306-458E-9909-87C2533B2FB0}"/>
    <hyperlink ref="C380" r:id="rId282" xr:uid="{E7E9C1CD-4769-4B09-97FF-18D8A4C654F5}"/>
    <hyperlink ref="C381" r:id="rId283" xr:uid="{B6807C2B-2EA5-4EE1-BF21-3425DA00A1E7}"/>
    <hyperlink ref="C383" r:id="rId284" xr:uid="{BC0E8C83-FBB9-4069-A0DD-C7A711C69D23}"/>
    <hyperlink ref="C268" r:id="rId285" display="DB-86D антенна автомобильная 138…470МГц, 2.15dBi, 0,47м, кабель RG174A, разъем SMA-M, на магните" xr:uid="{E868285B-C47C-491E-BF9C-0A235379A750}"/>
    <hyperlink ref="C270" r:id="rId286" xr:uid="{98CF6250-3455-4C0C-AD80-E914202FD8F9}"/>
    <hyperlink ref="C271" r:id="rId287" xr:uid="{DD3991ED-A410-4082-AE34-2AD879AD6587}"/>
    <hyperlink ref="C272" r:id="rId288" xr:uid="{716735E6-2452-4D62-A4FC-2711A52F22D1}"/>
    <hyperlink ref="C290" r:id="rId289" xr:uid="{0E3CB2DB-52E4-4373-9FF9-A5E6A44B3CB2}"/>
    <hyperlink ref="C291" r:id="rId290" display="DB-1410VHF антенна автомобильная 136-174МГц, 3.5dBi, NMO, 0.47м, 10Вт с кабелем 4 м и скобой" xr:uid="{5D2C7C56-6154-4850-AB6E-0E21CA6AD728}"/>
    <hyperlink ref="C293" r:id="rId291" display="DBM-1410VHF антенна автомобильная 136-174МГц, 3.5dBi, NMO, магнит 77мм, 0.47м, 10Вт с кабелем 4 м" xr:uid="{6A6A414C-8348-4A01-A024-7AFB6834E8CA}"/>
    <hyperlink ref="C292" r:id="rId292" xr:uid="{C6E2BDBD-3DD7-4832-B3B3-AA1CC98A32C3}"/>
    <hyperlink ref="C287" r:id="rId293" xr:uid="{858A2EF6-4A69-4006-8255-C300D0EB5FB3}"/>
    <hyperlink ref="C286" r:id="rId294" xr:uid="{C7C30145-2CC3-469B-8008-92C7B05BAEFB}"/>
    <hyperlink ref="C288" r:id="rId295" xr:uid="{EDAD05B7-0BD8-45E6-B92B-7EF859AC9438}"/>
    <hyperlink ref="C285" r:id="rId296" xr:uid="{A2337AE4-D2B8-4EE6-8B0B-3FD2A61170FC}"/>
    <hyperlink ref="C294" r:id="rId297" xr:uid="{5023348F-0045-42D4-BD54-B7EF4142A545}"/>
    <hyperlink ref="C295" r:id="rId298" xr:uid="{C3A1B258-551E-4463-9EA6-395553B0745F}"/>
    <hyperlink ref="C296" r:id="rId299" xr:uid="{7C71758A-A6E2-43DE-B31B-197119160C96}"/>
    <hyperlink ref="C297" r:id="rId300" xr:uid="{16B5F6FA-4A49-4ADF-8049-51990EC52528}"/>
    <hyperlink ref="C301" r:id="rId301" xr:uid="{5B8C9538-F2F3-4E94-9C93-390611F16148}"/>
    <hyperlink ref="C289" r:id="rId302" xr:uid="{215396D7-8DE2-4FBA-BE56-535EB198B90A}"/>
    <hyperlink ref="C226" r:id="rId303" xr:uid="{FD8A75E6-4967-4A1D-B990-49544F26BABC}"/>
    <hyperlink ref="C229" r:id="rId304" xr:uid="{42D3CAB3-B508-4677-B267-E4BC0D27A471}"/>
    <hyperlink ref="C232" r:id="rId305" xr:uid="{4442410B-16B9-4DC1-98C6-0ABFB8853638}"/>
    <hyperlink ref="C237" r:id="rId306" xr:uid="{BD603187-E702-48EC-BAFB-9C0CF7F0C903}"/>
    <hyperlink ref="C239" r:id="rId307" xr:uid="{2307132E-E5B2-4FB5-8938-721D544177EF}"/>
    <hyperlink ref="C240" r:id="rId308" xr:uid="{137818B8-2431-4243-9989-6510D03612FD}"/>
    <hyperlink ref="C241" r:id="rId309" xr:uid="{BDE5C8EC-719F-4025-B49F-B1A243FB4F8B}"/>
    <hyperlink ref="C243" r:id="rId310" xr:uid="{F75F2BAB-3462-4C64-849B-C29AD97023CF}"/>
    <hyperlink ref="C242" r:id="rId311" xr:uid="{F5007461-64A8-4FA0-9DA1-CB9BD27D2AD9}"/>
    <hyperlink ref="C248" r:id="rId312" xr:uid="{37669C16-E043-444F-B6F2-BC91B5236AFA}"/>
    <hyperlink ref="C249" r:id="rId313" xr:uid="{3B70ED56-7F90-4315-94DF-6752A8399409}"/>
    <hyperlink ref="C251" r:id="rId314" xr:uid="{D30AAE16-83A1-47EE-944E-33574D57D03D}"/>
    <hyperlink ref="C252" r:id="rId315" xr:uid="{597D543D-03A8-4E0D-B156-915B70348614}"/>
    <hyperlink ref="C253" r:id="rId316" xr:uid="{5C63CCD3-6C46-4314-A69A-F7018AA8F6E2}"/>
    <hyperlink ref="C254" r:id="rId317" xr:uid="{AFDB2311-46E9-4B83-8FA6-4194780FFEFB}"/>
    <hyperlink ref="C255" r:id="rId318" xr:uid="{E38981B7-BF07-4225-A69E-BCF65C349A4F}"/>
    <hyperlink ref="C259" r:id="rId319" xr:uid="{402900D1-4534-4394-88F4-07C4BEB9B6D8}"/>
    <hyperlink ref="C263" r:id="rId320" xr:uid="{3D91DD97-DB0E-43E6-87F6-A6A431C96106}"/>
    <hyperlink ref="C246" r:id="rId321" xr:uid="{6E3714A7-C14B-4519-96B7-D605B4C520E6}"/>
    <hyperlink ref="C247" r:id="rId322" xr:uid="{2F85A69D-F897-47AE-AA2D-FF697E6B3469}"/>
    <hyperlink ref="C244" r:id="rId323" xr:uid="{F6C13612-E142-4FCD-BCF0-FA4C44772BE1}"/>
    <hyperlink ref="C614" r:id="rId324" xr:uid="{3FBF9340-F9AE-4943-A5FE-5197CBA718EF}"/>
    <hyperlink ref="C615" r:id="rId325" display="QB-40L аккумуляторная батарея Li-ion 1350 мАч для AT-518 TURBO" xr:uid="{80683AB4-EA02-4BE9-A4D1-A3C853CD6417}"/>
    <hyperlink ref="C616" r:id="rId326" xr:uid="{2D1CCEBF-52F8-4A87-ACBE-C27382E2B423}"/>
    <hyperlink ref="C602" r:id="rId327" xr:uid="{31C17341-C231-49C0-8BAC-1547B36BDC5B}"/>
    <hyperlink ref="C610" r:id="rId328" xr:uid="{91620D94-F2CF-4A18-BFEA-78C5DDCF90C0}"/>
    <hyperlink ref="C406" r:id="rId329" xr:uid="{6B2446BD-D16B-4149-8EEC-C1EABDC54560}"/>
    <hyperlink ref="C411" r:id="rId330" xr:uid="{B043AD79-06D9-40D7-8308-D2FFE32943B4}"/>
    <hyperlink ref="C739" r:id="rId331" display="Кабель коаксиальный Teleconn RG-6 75 Ом" xr:uid="{2CA349B4-2F3D-4973-95DA-D939D67DB607}"/>
    <hyperlink ref="C738" r:id="rId332" xr:uid="{8CDBD7C9-ECCC-41FB-A550-80DA6F240814}"/>
    <hyperlink ref="C485" r:id="rId333" xr:uid="{342AB683-1158-49EA-A6A6-306B238DD03D}"/>
    <hyperlink ref="C86" r:id="rId334" xr:uid="{BE790CB8-5BA2-41D2-A3E4-E1988659F683}"/>
    <hyperlink ref="C88" r:id="rId335" xr:uid="{82564739-FD9F-4EDB-8B76-C21CA75819F0}"/>
    <hyperlink ref="C87" r:id="rId336" xr:uid="{084136CB-7D82-4687-A90F-0922ED33C38E}"/>
    <hyperlink ref="C111" r:id="rId337" display="Р/ст AnyTone AT-398UVD двухдиапазонная 136-174/400-480МГц, КВ+Авиадиапазон, 7Вт, Li-Ion 2200мАч зарядное устройство  Гарантия 2 года!" xr:uid="{94195482-7B14-4FD5-B367-B518785D1216}"/>
    <hyperlink ref="C200" r:id="rId338" display="AnyTone AT-7188 (U) УКВ ретранслятор аналоговый  400-480МГц, 25/35Вт" xr:uid="{7A1365DD-DD19-49EE-995F-04660D72361F}"/>
    <hyperlink ref="C201" r:id="rId339" display="AnyTone AT-7188 (U) УКВ ретранслятор аналоговый 136-174МГц, 25/35Вт" xr:uid="{9BD27F48-765C-4DD2-BFD5-A18CCDF3CD6C}"/>
    <hyperlink ref="C492" r:id="rId340" display="AnyTone AT-6200W Репитер 3G покрытие до 800 кв.м." xr:uid="{A4871C0F-011C-45F9-8F7E-9250A9150F77}"/>
    <hyperlink ref="C143" r:id="rId341" display="Р/ст Leixen UV-25HX 134-176/400-480МГц, 199 каналов, 5/10/25 Вт " xr:uid="{7485016A-22EF-4F78-8DD5-A0B7FBF74950}"/>
    <hyperlink ref="C589" r:id="rId342" xr:uid="{4FC74322-8D48-4226-AD8C-7E21BD3C19B0}"/>
    <hyperlink ref="C491" r:id="rId343" xr:uid="{88AC77B0-9944-4048-BF11-A08E537BFEA2}"/>
    <hyperlink ref="C250" r:id="rId344" xr:uid="{5B723C51-B0A2-42B4-936A-F35EA85FC535}"/>
    <hyperlink ref="C608" r:id="rId345" xr:uid="{7D518BCE-3CFC-471F-8ACD-A341A8B9703A}"/>
    <hyperlink ref="C661" r:id="rId346" display="MiWi SP-320-13.5 импульсный блок питания 13.5V А гарантия 1 год" xr:uid="{D9570CD4-8496-492E-92F5-11AB8CA58E05}"/>
    <hyperlink ref="C662" r:id="rId347" display="MiWi SP-500-13.5 импульсный блок питания с PFC, 13.5V 29А гарантия 1 год" xr:uid="{050E615C-0F7B-423E-8B48-BF02B521D925}"/>
    <hyperlink ref="C227" r:id="rId348" xr:uid="{5324362A-FAAA-450B-86E1-D7705D2A341A}"/>
    <hyperlink ref="C231" r:id="rId349" xr:uid="{B8430A4E-21F7-48E9-B7D3-1E1C25DCFFA8}"/>
    <hyperlink ref="C501" r:id="rId350" xr:uid="{2FB6CD21-BA15-4189-83D8-41B3D75AF310}"/>
    <hyperlink ref="C51" r:id="rId351" display="AnyTone Apollo II р/ст авто, 27МГц АМ/ЧМ CTCSS/DCS 8 Вт" xr:uid="{4E73E029-1473-4E2E-8615-B6EE709D5366}"/>
    <hyperlink ref="C398" r:id="rId352" xr:uid="{3BA2AAFA-0964-4C57-9BE2-76219464704B}"/>
    <hyperlink ref="C376" r:id="rId353" xr:uid="{BE3869B8-D14D-4340-8E47-45595A0D7322}"/>
    <hyperlink ref="C350" r:id="rId354" xr:uid="{F4784379-F9EC-4DD0-A12E-262380237EED}"/>
    <hyperlink ref="C537" r:id="rId355" display="МТП - 16  Мачта телескопическая RadioТехник  высота длина рабочая 14,96 м, вес 30,91 кг Стальные трубы Ø 32, 40, 45, 51, 57, 63, 70 и 76 мм; длина колен 1980 мм, толщина стенок 1,5 мм, такелаж, на плоскую поверхность" xr:uid="{824A95F4-1D61-4AF5-B434-0BEAC6069E30}"/>
    <hyperlink ref="C487" r:id="rId356" xr:uid="{24FDF5DB-60EA-4C40-B362-D9B43696F5EA}"/>
    <hyperlink ref="C81" r:id="rId357" display="Р/ст Luiton LT-316 (комплект 2 штуки), 400-470МГц, 3Вт, Li-Ion 1500мАч, зарядное устройство, гарантия 1 год." xr:uid="{1D22C6F1-2B78-49B9-9DE6-299BCD502324}"/>
    <hyperlink ref="C660" r:id="rId358" xr:uid="{09BC773D-BF7F-4EBA-B7BE-9260F2BA2E89}"/>
    <hyperlink ref="C477" r:id="rId359" xr:uid="{5B504658-EF9F-40FA-B31F-5634580C7EC3}"/>
    <hyperlink ref="C264" r:id="rId360" xr:uid="{1F78C46E-EE80-4DF8-8645-13B0DC3457EE}"/>
    <hyperlink ref="C67" r:id="rId361" display="Р/ст Luiton LT-316 (комплект 2 штуки), 400-470МГц, 3Вт, Li-Ion 1500мАч, зарядное устройство, гарантия 1 год." xr:uid="{DFDB802D-B812-44E9-8352-73F529830234}"/>
    <hyperlink ref="C319" r:id="rId362" xr:uid="{7FB11FC3-919B-4103-B179-F39DFE532AC5}"/>
    <hyperlink ref="C315" r:id="rId363" xr:uid="{FE4E8829-AC70-44BF-8A2A-B364DAE189E1}"/>
    <hyperlink ref="C399" r:id="rId364" xr:uid="{015203C9-C759-4818-8ADF-B90E883C91E8}"/>
    <hyperlink ref="C21" r:id="rId365" display="YOSAN JC-2204 р/ст авто, 27МГц 40 каналов EU, АМ, 5 Вт " xr:uid="{BB7F9F4B-5337-4FE4-A095-AED09188B70B}"/>
    <hyperlink ref="C609" r:id="rId366" xr:uid="{1BDBD47A-D940-4898-B5F6-550D71D0702B}"/>
    <hyperlink ref="C587" r:id="rId367" xr:uid="{CE6CA4CE-9469-4057-8033-E7DF774535FA}"/>
    <hyperlink ref="C449" r:id="rId368" xr:uid="{43987B48-B6FC-411A-8E25-1BC9D1FC7CF1}"/>
    <hyperlink ref="C448" r:id="rId369" xr:uid="{AE1CD6ED-EFF2-4D70-A491-8397B5BCEAFF}"/>
    <hyperlink ref="C444" r:id="rId370" xr:uid="{A9265105-FA83-4966-817D-C4DF33DF4A3B}"/>
    <hyperlink ref="C441" r:id="rId371" xr:uid="{3C6E6735-FEE8-4D2B-B98C-CF6B57C63F7B}"/>
    <hyperlink ref="C316" r:id="rId372" display="BC-100 антенна базовая 134-174МГц, 4.5dBi, 1.7м, 200Вт" xr:uid="{A96BC74D-C76D-427C-B85F-DBDC19057CFA}"/>
    <hyperlink ref="C317" r:id="rId373" display="BC-200L антенна базовая 370-430МГц, 4.5dBi, 1.7м, 200Вт" xr:uid="{0C9339FF-8A1A-4FE6-AAA7-1FFE35D36D19}"/>
    <hyperlink ref="C318" r:id="rId374" display="BC-200L антенна базовая 370-430МГц, 4.5dBi, 1.7м, 200Вт" xr:uid="{B7085D1E-EDA9-413D-8BD3-866F5AF19E63}"/>
    <hyperlink ref="C327" r:id="rId375" display="F-22 антенна базовая " xr:uid="{61522061-AE4C-4BE4-B365-8EB11CA84E67}"/>
    <hyperlink ref="C235" r:id="rId376" xr:uid="{70C1278E-D8FE-42D3-A869-143599056134}"/>
    <hyperlink ref="C236" r:id="rId377" xr:uid="{51C8219B-7C38-4FA2-950A-C9126645093C}"/>
    <hyperlink ref="C366" r:id="rId378" xr:uid="{DE4D4C3E-5614-46F6-9754-4AD12659188F}"/>
    <hyperlink ref="C579" r:id="rId379" xr:uid="{E5A0B08A-FB5D-4BA8-8AFD-11B54D7FB7C8}"/>
    <hyperlink ref="C767" r:id="rId380" display="NISSEI NS-60A антенный анализатор 0.5-60МГц" xr:uid="{47B38989-B685-4A98-889B-493263783BBA}"/>
    <hyperlink ref="C768" r:id="rId381" display="NISSEI NS-520A антенный анализатор 125-525МГЦ" xr:uid="{6F0233C0-4414-4114-9E02-8E004F2C3884}"/>
    <hyperlink ref="C149" r:id="rId382" display="Р/ст AnyTone AT-778UV 136-174/400-490МГц, 758 каналов, 5/10/25Вт VHF, 5/10/25/40Вт UHF" xr:uid="{8043FD26-2E48-434D-AB16-465F96E53698}"/>
    <hyperlink ref="C146" r:id="rId383" display="Р/ст AnyTone AT-778U 400-480МГц, 250 каналов, 25/10/5 Вт  " xr:uid="{9503968D-4E77-46D5-BE23-FF2A49CDECBE}"/>
    <hyperlink ref="C142" r:id="rId384" xr:uid="{1E06F34B-FF62-49F0-8CD5-B96174A0868E}"/>
    <hyperlink ref="C117" r:id="rId385" xr:uid="{0A1665CF-A9D4-422E-88EC-353D285082EB}"/>
    <hyperlink ref="C123" r:id="rId386" xr:uid="{A06447AA-FAFE-4CD8-8D6C-05AC884C013E}"/>
    <hyperlink ref="C371" r:id="rId387" xr:uid="{E8EAADFF-D8F4-4EA0-9E04-E2CF2476FD50}"/>
    <hyperlink ref="C372" r:id="rId388" xr:uid="{39E2F7FF-B044-4E3B-B83C-6082E1D31921}"/>
    <hyperlink ref="C314" r:id="rId389" xr:uid="{CBE6EFA4-B9D5-423C-A96D-E9821D6E9719}"/>
    <hyperlink ref="C283" r:id="rId390" xr:uid="{B1F41973-D831-442F-9975-7EA72235B217}"/>
    <hyperlink ref="C282" r:id="rId391" xr:uid="{F3D39107-6249-4A57-B47E-D412838CA1E5}"/>
    <hyperlink ref="C281" r:id="rId392" xr:uid="{13C6FD99-AD68-41DE-9004-CA3B4584BFA6}"/>
    <hyperlink ref="C280" r:id="rId393" xr:uid="{A9D91F6D-AA48-4623-ADA3-D10BB079A723}"/>
    <hyperlink ref="C279" r:id="rId394" xr:uid="{23839078-0CDC-40AD-B857-8273A104037C}"/>
    <hyperlink ref="C278" r:id="rId395" xr:uid="{33E32D63-E530-4D9F-A4CF-FE3974DA39C2}"/>
    <hyperlink ref="C277" r:id="rId396" xr:uid="{4ECB6690-A15B-4AA8-BE85-44D9F22AF3D8}"/>
    <hyperlink ref="C274" r:id="rId397" display="M150-SD90 антенна автомобильная 136-166МГц 3dBi 100Вт на магните 90 см, кабель 4м UHF" xr:uid="{E8C9E4C8-72A5-4CA3-8C51-CADAE8C60E0F}"/>
    <hyperlink ref="C311" r:id="rId398" xr:uid="{16DF07A7-A063-42A4-9180-7C01F968C7A3}"/>
    <hyperlink ref="C546" r:id="rId399" display="Кронштейн стеновой для крепления антенн KS-240" xr:uid="{F97D6674-2866-4905-83E3-F14D89383E18}"/>
    <hyperlink ref="C349" r:id="rId400" xr:uid="{5E7B8660-8FA5-4AB8-AEFB-AA771CA85D66}"/>
    <hyperlink ref="C363" r:id="rId401" xr:uid="{EA087C6F-3095-49BB-BD29-26678FAEA8C1}"/>
    <hyperlink ref="C446" r:id="rId402" xr:uid="{F771ED95-1C85-4497-A2DC-E58147E9D2AB}"/>
    <hyperlink ref="C710" r:id="rId403" display="Кабель для прямой зарядки AT-298 от прикуривателя" xr:uid="{4B8D9315-068D-41AE-B10C-061AD974A98E}"/>
    <hyperlink ref="C26" r:id="rId404" display="LUITON LT-298 р/ст авто, 27МГц, 240 каналов AM/FM, 10 Вт, EU+RU, 12/24V" xr:uid="{1408250B-EE60-4E39-B483-ABE130C6C35D}"/>
    <hyperlink ref="C586" r:id="rId405" xr:uid="{511A1DD4-225A-4B2E-9051-151BA788345A}"/>
    <hyperlink ref="C505" r:id="rId406" xr:uid="{1ADA947A-E1F4-4951-AEB6-5D88FA782422}"/>
    <hyperlink ref="C504" r:id="rId407" xr:uid="{A101E89B-B126-44CE-A803-C44E07342BEC}"/>
    <hyperlink ref="C458" r:id="rId408" xr:uid="{0D4EC652-0054-4577-82A8-FC51062D3812}"/>
    <hyperlink ref="C459" r:id="rId409" xr:uid="{C2A4E544-F236-4760-B191-0E215361062A}"/>
    <hyperlink ref="C664" r:id="rId410" xr:uid="{A80EC0FB-8323-418C-9BC6-825C158635CA}"/>
    <hyperlink ref="C365" r:id="rId411" xr:uid="{173FF12A-72A0-4F75-8508-DDBEA15E3E1C}"/>
    <hyperlink ref="C545" r:id="rId412" xr:uid="{07C7F4F7-34EE-425D-B024-CBA423DC0A3E}"/>
    <hyperlink ref="C770" r:id="rId413" display="RigExpert AA-30.ZERO антенный анализатор 0.06-30МГц" xr:uid="{4F8C4706-0780-4B07-8FC9-5708B1BA8C92}"/>
    <hyperlink ref="C771" r:id="rId414" display="RigExpert AA-35 ZOOM антенный анализатор 0.06-35МГц" xr:uid="{45381545-4A40-4062-AA1B-2EBEA6A6D2CB}"/>
    <hyperlink ref="C772" r:id="rId415" display="RigExpert AA-55 ZOOM антенный анализатор 0.06-55МГц" xr:uid="{4FD59E46-ECC2-4F88-A766-E23714AE4A00}"/>
    <hyperlink ref="C773" r:id="rId416" display="RigExpert AA-230 ZOOM антенный анализатор 0.1-230МГц" xr:uid="{03717FAE-F5AA-4B12-865C-0113463C45EB}"/>
    <hyperlink ref="C775" r:id="rId417" display="RigExpert AA-600 антенный анализатор 0.1-600МГц" xr:uid="{32665378-CDC6-451C-A59A-6987AD6F2430}"/>
    <hyperlink ref="C230" r:id="rId418" xr:uid="{1B7C071C-A09B-4262-9D28-F6B3BB02DFE9}"/>
    <hyperlink ref="C234" r:id="rId419" xr:uid="{2B730C54-1BA0-447E-ABF9-A8F8E7AEF57B}"/>
    <hyperlink ref="C245" r:id="rId420" xr:uid="{F8290098-E2C7-4EB8-A603-A7151ACF4BE4}"/>
    <hyperlink ref="C322" r:id="rId421" display="X-50 антенна базовая 144/430 МГц, 4.5/7.2 dBi, 1.7 м, 200 Вт, N-тип" xr:uid="{5BE36741-D3A1-476E-9358-817DA5519BBE}"/>
    <hyperlink ref="C324" r:id="rId422" xr:uid="{48230035-BF73-42E3-90AA-818F1E209103}"/>
    <hyperlink ref="C736" r:id="rId423" display="Зарядное устройство ABC-1220D 12 Вольт 20 Ампер, автоматическое, до 200Ач" xr:uid="{42F4CDC3-5ADA-4708-9342-95990F039F3C}"/>
    <hyperlink ref="C735" r:id="rId424" display="Зарядное устройство ABC-1210D 12 Вольт 10 Ампер, автоматическое, до 100Ач" xr:uid="{9F66CBE6-7279-4C68-9C17-876227EC9973}"/>
    <hyperlink ref="C680" r:id="rId425" display="Инвертор HP-150USB 12-220 Вольт 150 (450) Вт" xr:uid="{C9D02F65-C01C-4624-B0FF-E247697698C1}"/>
    <hyperlink ref="C681" r:id="rId426" display="Инвертор HP-300USB 12-220 Вольт 300 (900) Ватт" xr:uid="{1ADD9DC0-6240-4874-8D90-B5B47423BA48}"/>
    <hyperlink ref="C685" r:id="rId427" display="Инвертор HP-1200 12-220 Вольт" xr:uid="{3E0BD1E5-4E91-46F2-A7CC-50C59AA08273}"/>
    <hyperlink ref="C686" r:id="rId428" display="Инвертор HP-2500 12-220 Вольт 2500 (5000) Вт" xr:uid="{162ADBB6-1E2D-4A24-A9C6-530720AFE3A5}"/>
    <hyperlink ref="C679" r:id="rId429" xr:uid="{E0D899CC-FB0D-43AB-BEB6-5864F3653FBF}"/>
    <hyperlink ref="C104" r:id="rId430" display="Р/ст Luiton LT-199H, 400-480МГц, 12ВТ, Li-Ion 2700мАч, зарядное устройство" xr:uid="{01101869-935B-4401-9884-D15D087F9B99}"/>
    <hyperlink ref="C612" r:id="rId431" display="QB-43L аккумуляторная батарея Li-ion 1300 мАч для AT-318" xr:uid="{81CD0F5C-C410-4BC3-9825-09B7A3F3DA99}"/>
    <hyperlink ref="C114" r:id="rId432" display="Р/ст Baofeng DM-5R Tier I&amp;II, 136-174/400-480МГц, 5Вт, Li-Ion 2000мАч, зарядное устройство" xr:uid="{0C3BAB74-71BC-453B-8107-39615855F9F2}"/>
    <hyperlink ref="C620" r:id="rId433" display="QB-37L аккумуляторная батарея Li-ion 1800 мАч для AT-288/289/289Р/3318" xr:uid="{6AFB3CA2-8B8F-4611-811C-6F63F0D506D3}"/>
    <hyperlink ref="C629" r:id="rId434" xr:uid="{31F73C5E-3623-4BD7-BA1A-0E2A7579C0EF}"/>
    <hyperlink ref="C503" r:id="rId435" display="Termit FixPhone V2 rev.4 стационарный телефон GSM900/1800" xr:uid="{141C6EBF-39DC-4AB2-83D4-B6F8C22F86C0}"/>
    <hyperlink ref="C785" r:id="rId436" xr:uid="{E0DEDEE2-2076-4875-BE65-132659BEFC9C}"/>
    <hyperlink ref="C337" r:id="rId437" xr:uid="{FD839806-713C-47BF-B927-11682590AFFF}"/>
    <hyperlink ref="C269" r:id="rId438" display="SG-507 автомобильная антенна 144/430MHz UHF (только излучатель)" xr:uid="{3D7B259D-2175-44C0-A585-E215BCEC529A}"/>
    <hyperlink ref="C273" r:id="rId439" xr:uid="{BDA040CF-AD7C-4927-9DEF-F534A10F227F}"/>
    <hyperlink ref="C304" r:id="rId440" xr:uid="{263DE2AB-BAF8-41F5-A142-26BA56279EB6}"/>
    <hyperlink ref="C313" r:id="rId441" xr:uid="{F13B255E-A019-4E87-988A-D3A65DA1C0BF}"/>
    <hyperlink ref="C217" r:id="rId442" display="JYT-160" xr:uid="{E21CB382-0877-46AD-85BF-9B46BC0033D6}"/>
    <hyperlink ref="C218" r:id="rId443" display="JYT-670" xr:uid="{10076844-9868-490D-BE44-08F4B9EA1CE7}"/>
    <hyperlink ref="C219" r:id="rId444" display="JYT-870" xr:uid="{04A80AE9-CF27-4423-B623-2136D1A00A41}"/>
    <hyperlink ref="C220" r:id="rId445" display="JYT-CVU770" xr:uid="{3998A345-2751-4C0E-B262-1C23655C53AC}"/>
    <hyperlink ref="C221" r:id="rId446" display="JYT-1260" xr:uid="{ADB15FD1-7543-4AAC-ABE0-C0CB4EF55BB7}"/>
    <hyperlink ref="C222" r:id="rId447" display="JYT-1600" xr:uid="{EB25CE1E-BCD3-4E80-AAF6-0076A12446A5}"/>
    <hyperlink ref="C223" r:id="rId448" display="JYT-1800" xr:uid="{B374CFD3-A72F-41D4-A8EC-26F7282EBC33}"/>
    <hyperlink ref="C18" r:id="rId449" xr:uid="{FEDBF2B6-D179-49D2-AB59-AB71D2F045F3}"/>
    <hyperlink ref="C213" r:id="rId450" xr:uid="{5C56E917-A26E-4E9C-8BEF-911ED178E4BA}"/>
    <hyperlink ref="C214" r:id="rId451" xr:uid="{9B174D1F-FF45-4A49-8D0E-180358BFB5A2}"/>
    <hyperlink ref="C215" r:id="rId452" xr:uid="{14A73BD8-2A2B-4778-BC94-93933111DE2F}"/>
    <hyperlink ref="C755" r:id="rId453" display="Эквивалент нагрузки DL-30A " xr:uid="{0E125273-9654-4109-B711-4A3D4C64FA96}"/>
    <hyperlink ref="C147" r:id="rId454" display="Р/ст AnyTone AT-888 134-176МГц, 200 каналов, 60/25/10 Вт " xr:uid="{55B67AE1-5CE1-42A8-9922-F05778737A3D}"/>
    <hyperlink ref="C148" r:id="rId455" display="Р/ст AnyTone AT-888 400-490МГц, 200 каналов, 45/25/10 Вт " xr:uid="{733B0F5D-3696-4641-AB8A-5B23ECFF2CBD}"/>
    <hyperlink ref="C394" r:id="rId456" display="AXD-2 сплиттер 800-2500МГц, 2 выхода, N-типа" xr:uid="{D482A6CA-6AF8-4663-A347-90CCE2B72A1B}"/>
    <hyperlink ref="C626" r:id="rId457" xr:uid="{81A20ED5-3392-4ACD-A2E0-6DBE8FEFB7B6}"/>
    <hyperlink ref="C22" r:id="rId458" xr:uid="{954502A8-38D4-4C4C-8921-BF1E1F5561D8}"/>
    <hyperlink ref="C19" r:id="rId459" display="Монтажный набор для крепления СВ рации в 1DIN слот (для Yosan CB-50, AnyTone AT-310)" xr:uid="{9A321BC2-C571-4387-93BB-559D68583D47}"/>
    <hyperlink ref="C50" r:id="rId460" xr:uid="{5AE723EA-BA53-4834-A938-4D8B09A607C6}"/>
    <hyperlink ref="C49" r:id="rId461" display="LAFAYETTE TRUCKER PRO р/ст авто, 27МГц 1350 каналов АМ/ЧМ 9 Вт EU+ RU 1 DIN" xr:uid="{3E15BB8B-836B-4999-9220-9766620523CB}"/>
    <hyperlink ref="C351" r:id="rId462" xr:uid="{0E49D7B4-3340-48EF-86F2-11214CD7A359}"/>
    <hyperlink ref="C388" r:id="rId463" display="MONA UNIBOX PRO - антенна MIMO с боксом для 3G/4G модема LTE800/GSM900/GSM1800/LTE1800/UMTS900/UMTS2100/WiFi/LTE2600, с USB кабелем 10 метров" xr:uid="{E2F953AD-585A-4844-B44E-95EE39843CD9}"/>
    <hyperlink ref="C387" r:id="rId464" display="ZETA MIMO 2x2/LTE1800/3G/LTE2600/ антенна ANTEX направленная, панельная/17-20Дб/2*N-female" xr:uid="{38B0327D-7167-4742-BA76-E1F93205DDF2}"/>
    <hyperlink ref="C36" r:id="rId465" display="AnyTone AT-310M PLUS р/ст авто, 27МГц, 240 каналов, АМ.ЧМ, 8 Вт, EU+RU, 12/24V, CTCSS/DCS, VOX" xr:uid="{3E14C5F0-466C-4BFC-B497-E2637595AD97}"/>
    <hyperlink ref="C732" r:id="rId466" xr:uid="{5516F7C3-CB9E-4F7D-BE9F-89960B37C540}"/>
    <hyperlink ref="C29" r:id="rId467" display="Luiton LT-308 р/ст авто, 27МГц, 240 каналов, AM/FM, 10 Вт, EU+RU, 12/24V" xr:uid="{712667AA-E995-4247-AC8D-86CEE50F7DBE}"/>
    <hyperlink ref="C42" r:id="rId468" xr:uid="{26361FC1-CBAC-4B44-BA0F-6A75A09E0D53}"/>
    <hyperlink ref="C765" r:id="rId469" display="NISSEI DX-503 измеритель КСВ и мощности цифровой 1.8-525МГц 2/20/200Вт" xr:uid="{A7D0B305-9707-477E-B4F4-E141E087753A}"/>
    <hyperlink ref="C510" r:id="rId470" display="Стационарный GSM телефон Termit FixPhone LTE LiTE с роутером" xr:uid="{2A261DD6-FD7F-4988-A798-44BCEFDB46E9}"/>
    <hyperlink ref="C202" r:id="rId471" display="ABELL R-80 (U) УКВ ретранслятор цифро-аналоговый  400-470МГц 25/50Вт" xr:uid="{1374A6D7-2153-4270-9CBF-5AA762F8B2B8}"/>
    <hyperlink ref="C683" r:id="rId472" display="Инвертор HP-600 12-220 Вольт" xr:uid="{AE6C5694-3440-4703-BFA7-3E0E1718FABF}"/>
    <hyperlink ref="C688" r:id="rId473" display="Инвертор HP-3000 12-220 Вольт" xr:uid="{15697DED-E8B1-4779-9455-518143DDBE61}"/>
    <hyperlink ref="C684" r:id="rId474" display="Инвертор HP-600 24-220 Вольт 600 (1500) Ватт" xr:uid="{89824ED5-4FBD-4E45-90D7-DEA8E44917C7}"/>
    <hyperlink ref="C687" r:id="rId475" display="Инвертор HP-2500 12-220 Вольт 2500 (5000) Ватт" xr:uid="{19B68CCF-1190-4F26-B860-A0A533B6AB62}"/>
    <hyperlink ref="C689" r:id="rId476" display="Инвертор HP-3000 12-220 Вольт 3000 (6000) Ватт" xr:uid="{06DB3425-4850-455F-B2DF-09E0F9F6AB80}"/>
    <hyperlink ref="C334" r:id="rId477" xr:uid="{14291821-05A1-43B5-996B-6EFBE5EA8CDA}"/>
    <hyperlink ref="C70" r:id="rId478" display="Р/ст Baofeng BF-888s 400-470МГц, 2Вт, Li-Ion 1500 мАч, зарядное устройство, гарантия 1 месяц" xr:uid="{5EF6BA15-EFE5-4D2B-8E34-9ACA0F5724F5}"/>
    <hyperlink ref="C113" r:id="rId479" xr:uid="{2E543472-09C5-49CF-AEA0-C44952CBCC37}"/>
    <hyperlink ref="C78" r:id="rId480" display="Р/ст Baofeng UV-82 136-174/400-520МГц, 5Вт, Li-Ion 2800мАч, зарядное устройство" xr:uid="{EAE0BD90-3D26-40B5-B80E-2C9026716D34}"/>
    <hyperlink ref="C69" r:id="rId481" display="Р/ст Luiton LT-316 (комплект 2 штуки), 400-470МГц, 3Вт, Li-Ion 1500мАч, зарядное устройство, гарантия 1 год." xr:uid="{695766AA-D1ED-4A0E-8275-074F5595697C}"/>
    <hyperlink ref="C115" r:id="rId482" xr:uid="{43980E42-8D7C-4DDA-B1B9-AD9577D69B56}"/>
    <hyperlink ref="C116" r:id="rId483" xr:uid="{09372581-9B0A-4DAF-A570-ACAE5B1466C1}"/>
    <hyperlink ref="C59" r:id="rId484" display="AnyTone AT-5555N р/ст авто, 25.615...30.105 МГц, AM/FM/SSB, 12 Вт AM, 30 Вт FM, CTCSS/DCS " xr:uid="{0797B29A-006E-45BE-A99E-460788C03E3B}"/>
    <hyperlink ref="C603" r:id="rId485" xr:uid="{B572630A-8795-4A2C-B777-098D6F23A083}"/>
    <hyperlink ref="C682" r:id="rId486" display="Инвертор HP-300USB 24-220 Вольт 300 (900) Ватт" xr:uid="{F3E66D00-EB47-4E77-95DA-DCEEE605B89F}"/>
    <hyperlink ref="C460" r:id="rId487" xr:uid="{375BC8E7-6E5E-4AD8-97D3-12356AC1C6C2}"/>
    <hyperlink ref="C451" r:id="rId488" xr:uid="{67B57A7C-8100-4DA8-BAD1-8149686158D0}"/>
    <hyperlink ref="C452" r:id="rId489" xr:uid="{1BE3474E-EC96-411D-BCE7-C70E7871C833}"/>
    <hyperlink ref="C52" r:id="rId490" display="President Bill р/ст авто, 27МГц, 4 Вт, АМ/ЧМ" xr:uid="{5170BF38-3062-4CCC-8EA5-0E0C3F6284A2}"/>
    <hyperlink ref="C53" r:id="rId491" display="President Barry ASC II р/ст авто, 27МГц, 4 Вт, АМ/ЧМ, 24/12V" xr:uid="{445C50DF-9617-4A70-90F2-223510A2E615}"/>
    <hyperlink ref="C506" r:id="rId492" display="StarNet 4G-CPE 3G/4G Wi-Fi роутер," xr:uid="{4331530F-F359-45E6-9B13-D79F5CAA1AE1}"/>
    <hyperlink ref="C260" r:id="rId493" xr:uid="{7FA27252-2E9A-4F8F-8F4A-E2EB0A84FE33}"/>
    <hyperlink ref="C261" r:id="rId494" display="Sirio Performer 2000 антенна автомобильная 27МГц (врезная) 2 метра с кабелем 3,6 метра 2000 Вт" xr:uid="{330CF516-DA0B-493E-B88A-254233724963}"/>
    <hyperlink ref="C262" r:id="rId495" xr:uid="{E3BE5B68-1F5D-4652-A977-E7A57B7B67CF}"/>
    <hyperlink ref="C813" r:id="rId496" xr:uid="{E7F4A449-0EC4-415B-BE93-48A30C443E6C}"/>
    <hyperlink ref="C812" r:id="rId497" xr:uid="{FC18F2E5-3FF8-451E-9CA6-0EED226EF166}"/>
    <hyperlink ref="C814" r:id="rId498" xr:uid="{070CCF9D-0DC4-4479-A962-F453386494D9}"/>
    <hyperlink ref="C806" r:id="rId499" xr:uid="{638F8DE2-FA40-4A8B-802A-489C7E9BCC1D}"/>
    <hyperlink ref="C805" r:id="rId500" xr:uid="{793D20F8-0B9D-44F9-81CA-16A332E8682F}"/>
    <hyperlink ref="C811" r:id="rId501" xr:uid="{9E722C71-E216-4037-BB9D-DF85F19A7FDA}"/>
    <hyperlink ref="C810" r:id="rId502" xr:uid="{C7500D6E-E946-4331-ACFE-224C2F54D085}"/>
    <hyperlink ref="C809" r:id="rId503" xr:uid="{ADE9A943-EA95-4D3A-B5CA-212161A5EF00}"/>
    <hyperlink ref="C808" r:id="rId504" xr:uid="{B0B4C558-4A50-4790-AF31-5AFA1B1E08FC}"/>
    <hyperlink ref="C807" r:id="rId505" xr:uid="{A7593419-655B-4006-8FC5-C43E6259BFFB}"/>
    <hyperlink ref="C341" r:id="rId506" xr:uid="{A2EDC934-E0EF-429C-8978-04F85BD7723E}"/>
    <hyperlink ref="C347" r:id="rId507" display="Комнатная 3G/4G антенна BAS-2013 MiMo Indoor 6-7/10-12 дБ  690-900 / 1700-3600 МГц" xr:uid="{91C88B8F-DDFB-4F9B-B1FC-B203F2015499}"/>
    <hyperlink ref="C37" r:id="rId508" display="YOSAN JC-350 р/ст авто, 27МГц, 120 каналов, AM/FM, 7 Вт, EU+RU" xr:uid="{8F4A1A4A-DA48-453D-97A1-FA5E4FD89B01}"/>
    <hyperlink ref="C45" r:id="rId509" display="YOSAN JC-650 р/ст авто, 27МГц 240 каналов, АМ/ЧМ 8 Вт EU+RU" xr:uid="{487147D7-36C5-40B5-A28A-2E6E032A9705}"/>
    <hyperlink ref="C336" r:id="rId510" xr:uid="{140BB04B-B4B7-4523-B1F3-999741E13E12}"/>
    <hyperlink ref="C151" r:id="rId511" xr:uid="{625F6AB8-9215-4E3A-BC4E-0389EBC6B321}"/>
    <hyperlink ref="C593" r:id="rId512" xr:uid="{9FCB47AB-1F3E-459A-8D01-23E206744112}"/>
    <hyperlink ref="C377" r:id="rId513" xr:uid="{7469585C-1215-4C27-97B2-D25386F4A66A}"/>
    <hyperlink ref="C46" r:id="rId514" display="President Teddy II р/ст авто, 27МГц, 4Вт, АМ/ЧМ, EU+RU" xr:uid="{1A6AFF51-A8F3-4278-9D84-B766CD5511C3}"/>
    <hyperlink ref="C339" r:id="rId515" xr:uid="{CBED5C41-F287-4D80-9F33-46005CFAE2CD}"/>
    <hyperlink ref="C513" r:id="rId516" display="Kirisun T60 GSM/3G/WIFI рация 5200мАч" xr:uid="{F43A7235-F729-4A96-B5E8-2AC9C210FCA4}"/>
    <hyperlink ref="C512" r:id="rId517" xr:uid="{70298101-B1BA-4459-AB4F-737D99A69068}"/>
    <hyperlink ref="C525" r:id="rId518" display="X-Keeper Invis DUOS - GPS маяк-закладка" xr:uid="{5A69C5B2-CFF3-493D-8324-3A51A46037D6}"/>
    <hyperlink ref="C567" r:id="rId519" display="Гарнитура KME-026 для POC раций Kirisun T60/T65" xr:uid="{0DC13098-ABB6-44AF-99EC-1346F6D33BD0}"/>
    <hyperlink ref="C564" r:id="rId520" display="Гарнитура скрытого ношения KME-032 для POC раций Kirisun T60/T65" xr:uid="{44304B08-702D-4260-A9EB-E8C1BE41DE3B}"/>
    <hyperlink ref="C628" r:id="rId521" xr:uid="{E3E0E1DF-7BD7-49E8-BDFF-670C991449F7}"/>
    <hyperlink ref="C312" r:id="rId522" xr:uid="{20EE7BB7-43BF-4649-9347-AD62CF1A4F7B}"/>
    <hyperlink ref="C693" r:id="rId523" xr:uid="{40501999-71F9-4287-BFC8-8EC212B72BAD}"/>
    <hyperlink ref="C694" r:id="rId524" xr:uid="{806B28E3-389D-46C0-A541-D80897770C11}"/>
    <hyperlink ref="C695" r:id="rId525" xr:uid="{50BDB5B1-3FC7-45CB-BD62-714AB7A73874}"/>
    <hyperlink ref="C228" r:id="rId526" display="С-129 Hawaii антенна автомобильная 27МГц (врезная) 72 смс кабелем 4м 150Вт" xr:uid="{E79F764E-54E4-465D-A286-64677CC4E0E4}"/>
    <hyperlink ref="C74" r:id="rId527" display="Р/ст StarNrt S-200 400-470МГц 5Вт, Li-Ion 2000мАч, зарядное устройство, гарантия 6 месяцев" xr:uid="{4DEF4372-8F58-4ECE-8FC4-5D7570EDFBCC}"/>
    <hyperlink ref="C38" r:id="rId528" display="AnyTone AT-500M р/ст авто, 27МГц, 480 каналов АМ/ЧМ, 8 Вт, EU+RU, 12/24V, CTCSS/DCS, VOX, Roger Beep" xr:uid="{9C8930BA-7ACD-4039-B3D9-C16138B86E5E}"/>
    <hyperlink ref="C520" r:id="rId529" display="SinoTrack ST-901 GPS-трекер скрытой установки " xr:uid="{6C6EF8C9-023B-4DCA-A467-4AB3D891CC72}"/>
    <hyperlink ref="C521" r:id="rId530" display="SinoTrack ST-902 GPS-трекер OBDII интерфейс" xr:uid="{38157992-A581-4B5C-B870-221C71405051}"/>
    <hyperlink ref="C522" r:id="rId531" display="SinoTrack ST-907 GPS-трекер (реле) скрытой установки" xr:uid="{CC974807-CCD9-446D-98D6-E493851C11F9}"/>
    <hyperlink ref="C523" r:id="rId532" display="SinoTrack ST-909 GPS-трекер (в прикуриватель)" xr:uid="{A6829189-0E86-4D12-B20D-913A27CF6432}"/>
    <hyperlink ref="C524" r:id="rId533" display="SinoTrack ST-915 GPS-трекер автономный на магните" xr:uid="{8BF57BD0-69FD-41A3-BDEF-3EB29FABD7F5}"/>
    <hyperlink ref="C794" r:id="rId534" xr:uid="{FE474220-0F9E-436A-A9B0-35E8E8CFD9D5}"/>
    <hyperlink ref="C367" r:id="rId535" xr:uid="{E5FA83AF-5FCC-4DE6-AFFF-C9890071AA0F}"/>
    <hyperlink ref="C709" r:id="rId536" xr:uid="{1FB3A422-7F8E-46D3-9114-AAB2478AD1A0}"/>
    <hyperlink ref="C145" r:id="rId537" display="Р/ст AnyTone AT-778V 134-176МГц, 250 каналов, 25/10/5 Вт  " xr:uid="{31699A27-5566-4246-B702-8B44159CE2DA}"/>
    <hyperlink ref="C118" r:id="rId538" display="Р/ст AnyTone AT-D868 DMR/analog, 400-480МГц 5Вт, Li-Ion 2000мАч, зарядное устройство  " xr:uid="{B0D806AD-41CB-46E0-BC92-B691F9D8DC08}"/>
    <hyperlink ref="C122" r:id="rId539" xr:uid="{53108E12-CCEA-4D47-9889-7EFBCFA34EF9}"/>
    <hyperlink ref="C152" r:id="rId540" xr:uid="{9B0815A5-01C9-4359-AD07-22E5C6C46187}"/>
    <hyperlink ref="C204" r:id="rId541" display="ABELL R-80 (U) УКВ ретранслятор цифро-аналоговый  400-470МГц 25/50Вт" xr:uid="{F691340B-49A6-4DD6-93E7-19F77EC04FE7}"/>
    <hyperlink ref="C208" r:id="rId542" xr:uid="{543937CA-2ED2-4FF6-955E-E46BBA764A71}"/>
    <hyperlink ref="C434" r:id="rId543" xr:uid="{FDC6ED5B-343C-44D4-A402-61D4603D0E35}"/>
    <hyperlink ref="C435" r:id="rId544" xr:uid="{5D9B752C-EBB9-46B0-8755-B32E7FFDB933}"/>
    <hyperlink ref="C436" r:id="rId545" xr:uid="{6A392846-5485-4391-A219-3E624CA2507B}"/>
    <hyperlink ref="C437" r:id="rId546" xr:uid="{303C3B5E-EEC3-4369-A145-6DEB7430B8CE}"/>
    <hyperlink ref="C438" r:id="rId547" xr:uid="{C972FDC2-D71D-4038-888B-BFF295F72088}"/>
    <hyperlink ref="C106" r:id="rId548" xr:uid="{E977D81A-AC0F-4130-8D64-E542FCC40706}"/>
    <hyperlink ref="C413" r:id="rId549" xr:uid="{9630CE5C-7DF7-4884-A794-2B718BCC3F0F}"/>
    <hyperlink ref="C604" r:id="rId550" xr:uid="{3B3C80BA-607E-4007-9778-5E82CAAF6FEE}"/>
    <hyperlink ref="C623" r:id="rId551" xr:uid="{76A91976-9F96-4312-A8A8-4A22FA8D0BCE}"/>
    <hyperlink ref="C574" r:id="rId552" xr:uid="{9264646B-FCE4-42D5-A753-63EBA30E0CF8}"/>
    <hyperlink ref="C573" r:id="rId553" xr:uid="{883ED9EF-C792-4BE6-92E5-5E80E9681B5C}"/>
    <hyperlink ref="C321" r:id="rId554" display="SD YV5B антенна базовая Yagi 5 элементов 136-174МГц 9dBi 100Вт" xr:uid="{F565CEDF-03C0-45C9-BF97-C65311F6321E}"/>
    <hyperlink ref="C323" r:id="rId555" xr:uid="{6F71C719-53EA-48FC-B693-71D8F413B54A}"/>
    <hyperlink ref="C120" r:id="rId556" xr:uid="{FD5EDF40-8778-49C7-9211-D6CA80081E57}"/>
    <hyperlink ref="C119" r:id="rId557" xr:uid="{653BCE1B-D9D5-46CF-8333-F5B3DD68DF60}"/>
    <hyperlink ref="C203" r:id="rId558" display="Quesum R-8900 (U) УКВ ретранслятор цифро-аналоговый 400-470МГц 30Вт, гарантия 1 год" xr:uid="{3847C142-B01F-42D0-82E1-697840BC49E0}"/>
    <hyperlink ref="C211" r:id="rId559" xr:uid="{EE8A0AD7-0B8E-470A-B3AC-25474C469340}"/>
    <hyperlink ref="C212" r:id="rId560" xr:uid="{04D47DCB-ADAA-477E-BBC9-1F2EB35759B4}"/>
    <hyperlink ref="C627" r:id="rId561" xr:uid="{C5C5B39C-1262-4D06-ADBB-E434153775BE}"/>
    <hyperlink ref="C578" r:id="rId562" xr:uid="{C2B73C15-8D15-4F10-96B0-0D9693AFD4F8}"/>
    <hyperlink ref="C778" r:id="rId563" display="Rigexpert AA-650 антенный анализатор 0.1-650МГц, гарантия 1 год" xr:uid="{4959419A-DBEA-45CF-BBCA-A337ED4B6F0B}"/>
    <hyperlink ref="C352" r:id="rId564" display="Антенна  PETRA Broad Band 75 (2G/3G/4G/WIFI), направленная, тип-панельная/12.5-15.5 dB, F-female" xr:uid="{39EA9838-746D-4FDD-93EC-E9ECD8F746E3}"/>
    <hyperlink ref="C353" r:id="rId565" xr:uid="{E0F2EF77-FB9E-4494-AFA5-6ECB5110D111}"/>
    <hyperlink ref="C354" r:id="rId566" xr:uid="{918383C0-1D98-4B8E-8B67-228A2692113B}"/>
    <hyperlink ref="C799" r:id="rId567" xr:uid="{0B364004-CCDE-4455-B3BF-E723C5215D5E}"/>
    <hyperlink ref="C355" r:id="rId568" xr:uid="{D9B524A6-8C56-4D70-BC6A-6BB4E9D73477}"/>
    <hyperlink ref="C356" r:id="rId569" xr:uid="{FF0F994B-2BC6-4697-A88E-D49F857A8179}"/>
    <hyperlink ref="C357" r:id="rId570" xr:uid="{009BB8ED-9FA2-4387-B146-373B85F0E939}"/>
    <hyperlink ref="C359" r:id="rId571" xr:uid="{FF988195-9C60-45CF-92F7-F8063E830C8F}"/>
    <hyperlink ref="C358" r:id="rId572" xr:uid="{8A890042-C73B-446E-9D5C-EBABFDD5E686}"/>
    <hyperlink ref="C360" r:id="rId573" xr:uid="{8A63C939-D2D4-45A2-A51B-CF1B00397C23}"/>
    <hyperlink ref="C361" r:id="rId574" xr:uid="{A4A4BE04-43E9-47A8-965C-26227B09A100}"/>
    <hyperlink ref="C362" r:id="rId575" display="https://radist.kz/products/vika_1_1_800_2700f_mimo_setchataya_razbornaya_parabolicheskaya_shirokopolosnaya_antenna_lte800_lte90.html" xr:uid="{330EB6AC-0894-4FC5-9004-433739EFFAB0}"/>
    <hyperlink ref="C206" r:id="rId576" xr:uid="{D3293F19-EA9D-4212-89A4-223BD2900864}"/>
    <hyperlink ref="C207" r:id="rId577" xr:uid="{C1BECB08-7A37-40A9-8D30-5BA5E79BA7D3}"/>
    <hyperlink ref="C107" r:id="rId578" xr:uid="{E292ECEB-B3D3-4A60-B6C3-27312EEB618D}"/>
    <hyperlink ref="C348" r:id="rId579" xr:uid="{4F7BBEA0-C085-441C-9C68-585265FE1809}"/>
    <hyperlink ref="C779" r:id="rId580" display="Rigexpert AA-1500 антенный анализатор 0.1-1500МГц, гарантия 1 год" xr:uid="{EB0BD351-7E13-4057-AE73-11F64F635307}"/>
    <hyperlink ref="C378" r:id="rId581" xr:uid="{1669C12C-183F-417A-B79C-368653EC6FB7}"/>
    <hyperlink ref="C56" r:id="rId582" xr:uid="{AF79FD94-F393-4F0D-B14E-8E18F08855C1}"/>
    <hyperlink ref="C630" r:id="rId583" xr:uid="{7D4A986F-59B8-469E-9C07-6DA440CCB8EE}"/>
    <hyperlink ref="C780" r:id="rId584" display="RigExpert AA-2000 антенный анализатор 0.1-2000МГц, гарантия 1 год" xr:uid="{FCD548D0-8E9F-43E2-86BD-59E050AAB130}"/>
    <hyperlink ref="C781" r:id="rId585" xr:uid="{AF5051FC-4032-4DE5-AC03-7BEAB0161F82}"/>
    <hyperlink ref="C421" r:id="rId586" xr:uid="{A09A2FFE-31FC-4001-9D18-8736A72C5DA0}"/>
    <hyperlink ref="C76" r:id="rId587" xr:uid="{1E5EB514-6557-46CB-BC4F-E0A44F41735D}"/>
    <hyperlink ref="C75" r:id="rId588" xr:uid="{B672F85F-745F-4E10-B6AA-8B6AC24B8586}"/>
    <hyperlink ref="C423" r:id="rId589" xr:uid="{5C62D61E-3441-405D-8EB2-4D326A841B72}"/>
    <hyperlink ref="C766" r:id="rId590" xr:uid="{74560BCB-055C-428E-8428-8C263E3E2469}"/>
    <hyperlink ref="C529" r:id="rId591" xr:uid="{6B0DAFE8-9AAA-4CDC-998F-E47C50D332F9}"/>
    <hyperlink ref="C342" r:id="rId592" display="AX-9014Y Направленная антенна типа Yagi GSM-900 LTE 900 14dBi, N-female" xr:uid="{B8F4A02C-CBE0-4B01-B149-C5B1EBB2E7F6}"/>
    <hyperlink ref="C730" r:id="rId593" xr:uid="{60FEF9D2-E640-4C08-8C44-D1B430E5C2E0}"/>
    <hyperlink ref="C717" r:id="rId594" xr:uid="{5B89F11F-C16E-4BEE-ACE8-05223B861F68}"/>
    <hyperlink ref="C395" r:id="rId595" display="AXD-3 сплиттер 800-2500МГц, 3 выхода, N-типа" xr:uid="{20C3724B-1F1F-489C-83F5-451CF88A3954}"/>
    <hyperlink ref="C158" r:id="rId596" display="Р/ст AnyTone AT-588  136-174МГц, 200 каналов, 60/25/10 Вт  Гарантия 12 месяцев!" xr:uid="{BC0310EF-ABD9-462C-8871-B33395BD2E4C}"/>
    <hyperlink ref="C741" r:id="rId597" xr:uid="{EE02C760-C600-4BA8-9621-F99723ECBD0F}"/>
    <hyperlink ref="C205" r:id="rId598" display="Quesum R-8900 (U) УКВ ретранслятор цифро-аналоговый 400-470МГц 30Вт, гарантия 1 год" xr:uid="{72774354-07C3-447E-BA73-4F1EF8696A10}"/>
    <hyperlink ref="C144" r:id="rId599" display="Р/ст StarNet S-700 64-520/136-520МГц, 999 каналов, 10/25Вт, гарантия 6 месяцев" xr:uid="{33DF883E-5C60-4140-8A14-C2548B3619A8}"/>
    <hyperlink ref="C61" r:id="rId600" xr:uid="{209D18F9-A0B7-443B-9716-D71FBA133834}"/>
    <hyperlink ref="C802" r:id="rId601" xr:uid="{88E518B2-FB8C-4F3D-BD8A-102D757F3AE2}"/>
    <hyperlink ref="C83" r:id="rId602" display="Р/ст AnyTone V10, 400-480МГц, 5Вт, Li-Ion 2600мАч, зарядное устройство, гарантия 6 месяцев" xr:uid="{B6C18C8E-90C2-438F-A776-5DF164056171}"/>
    <hyperlink ref="C298" r:id="rId603" display="SG-507-MAG125 автомобильная антенна 144/430MHz UHF c креплением на магните 125мм (Италия)" xr:uid="{63444760-6EEA-4891-9110-30BC33DA24E8}"/>
    <hyperlink ref="C299" r:id="rId604" xr:uid="{DB8856F3-33A4-497D-B1AD-5A2F43223FD9}"/>
    <hyperlink ref="C332" r:id="rId605" xr:uid="{B2CB4F66-BB3F-4A2D-9A24-0B54764A94FF}"/>
    <hyperlink ref="C333" r:id="rId606" xr:uid="{FC84B90F-CC17-44A6-B3B6-B833935BCE67}"/>
    <hyperlink ref="C25" r:id="rId607" display="AnyTone AT-505 PRO, р/ст авто, 27МГц, 40 каналов, АМ/ЧМ, 15Вт, EU+RU, VOX, Roger Beep, гарантия 6 мес" xr:uid="{73F25AB3-7A3D-492C-8EB9-5FC806C02667}"/>
    <hyperlink ref="C121" r:id="rId608" xr:uid="{9ED8D343-A6E4-4764-A716-1A1F13C85127}"/>
    <hyperlink ref="C592" r:id="rId609" xr:uid="{C53B5B69-A978-4299-A2CD-5EFC672CF894}"/>
    <hyperlink ref="C595" r:id="rId610" xr:uid="{A0ACA312-A733-4127-9481-0626C8A9FAE9}"/>
    <hyperlink ref="C590" r:id="rId611" xr:uid="{245ABE3D-CB8C-4D4E-9DC2-EE930A2CCDCB}"/>
    <hyperlink ref="C17" r:id="rId612" xr:uid="{AAB0ED7E-8D70-42B3-AF12-F23556B7B294}"/>
    <hyperlink ref="C568" r:id="rId613" xr:uid="{84079321-33B8-4409-A34A-AB194522D5C1}"/>
    <hyperlink ref="C275" r:id="rId614" xr:uid="{C2ACEC09-025B-4588-9D70-766C2411EF3D}"/>
    <hyperlink ref="C565" r:id="rId615" xr:uid="{09903CA2-EB09-405E-9699-E4CFD7F3B3B6}"/>
    <hyperlink ref="C584" r:id="rId616" xr:uid="{D2EE54B5-A53E-4722-A5EE-D8B4CE75FE7B}"/>
    <hyperlink ref="C769" r:id="rId617" xr:uid="{8DD3E92B-0CE8-43CD-BFFA-0468337E7BE6}"/>
    <hyperlink ref="C514" r:id="rId618" display="Kirisun M50 GSM/3G/WIFI мобильная рация" xr:uid="{7440A6C1-8EF4-411A-856F-2BD474AD4BD2}"/>
    <hyperlink ref="C507" r:id="rId619" xr:uid="{A71E00F7-9E73-49C1-827C-1D5A7D35DC8D}"/>
    <hyperlink ref="C776" r:id="rId620" xr:uid="{85FC9DFF-9FDD-4FC9-A29A-B0AEDB18635A}"/>
    <hyperlink ref="C777" r:id="rId621" xr:uid="{86D49DA7-BBF3-4E92-A5E2-5C6A8DE60CB7}"/>
    <hyperlink ref="C93" r:id="rId622" xr:uid="{F7502EA7-CF0B-469D-8C92-FA11C657F113}"/>
    <hyperlink ref="C94" r:id="rId623" xr:uid="{78496151-AA6B-431F-A609-6645FDA75B43}"/>
    <hyperlink ref="C68" r:id="rId624" xr:uid="{A7911135-009B-46C6-ABBD-7C76A3837639}"/>
    <hyperlink ref="C553" r:id="rId625" display="Гарнитура универсальная с выносной кнопкой для Puxing PX-800s/820s/840s" xr:uid="{7005F1AB-1C03-433B-A7B3-C17D7EA92436}"/>
    <hyperlink ref="C557" r:id="rId626" display="Гарнитура EARPHONIC ER03DPLB16_K для носимых раций с интерфейсом 2-PIN (K1)" xr:uid="{EBCAEF3C-2BDF-48D1-BC44-FC4B6F9A4D01}"/>
    <hyperlink ref="C552" r:id="rId627" display="Гарнитура EARPHONIC ER01DP28SB13_K для носимых раций с интерфейсом 2-PIN (K1)" xr:uid="{9D2D451E-2433-402A-A1B9-2AE03BE4BCCF}"/>
    <hyperlink ref="C554" r:id="rId628" display="Гарнитура EARPHONIC ER01DP28SB1_K для носимых раций с интерфейсом 2-PIN (K1)" xr:uid="{FB7D4360-549B-407E-B357-1A52F8456CB8}"/>
    <hyperlink ref="C555" r:id="rId629" display="Гарнитура EARPHONIC ER02DP28SB6_K для носимых раций с интерфейсом 2-PIN (K1)" xr:uid="{EBA8E642-35E4-403B-98D9-E369F494CE25}"/>
    <hyperlink ref="C556" r:id="rId630" display="Гарнитура-ларингофон EARPHONIC ER02DP02SB6_K для носимых раций с интерфейсом 2-PIN (K1)" xr:uid="{017E683F-DB44-4D87-AFB0-0B12BAF4453C}"/>
    <hyperlink ref="C774" r:id="rId631" xr:uid="{2134A49D-7D18-42E7-871D-8759EBB996CF}"/>
    <hyperlink ref="C601" r:id="rId632" xr:uid="{DFA94DE1-3761-4A8B-A421-46407EC49A95}"/>
    <hyperlink ref="C600" r:id="rId633" xr:uid="{6A8F77B8-6AAA-4C59-99A6-EA65B908B6E7}"/>
    <hyperlink ref="C718" r:id="rId634" xr:uid="{0C1D4726-D35E-4BA2-B683-A63912373D04}"/>
  </hyperlinks>
  <pageMargins left="0.32" right="0.21" top="0.51" bottom="0.47" header="0.51181102362204722" footer="0.51181102362204722"/>
  <pageSetup paperSize="9" orientation="portrait" r:id="rId635"/>
  <headerFooter alignWithMargins="0"/>
  <drawing r:id="rId6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Лист1</vt:lpstr>
      <vt:lpstr>Sheet1</vt:lpstr>
      <vt:lpstr>Sheet1!Область_печати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cbsta</dc:creator>
  <cp:lastModifiedBy>Егор Патрикеев</cp:lastModifiedBy>
  <cp:lastPrinted>2025-06-20T05:44:54Z</cp:lastPrinted>
  <dcterms:created xsi:type="dcterms:W3CDTF">2023-11-09T03:48:39Z</dcterms:created>
  <dcterms:modified xsi:type="dcterms:W3CDTF">2026-05-09T05:58:17Z</dcterms:modified>
</cp:coreProperties>
</file>